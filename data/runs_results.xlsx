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ustaff-my.sharepoint.com/personal/e9400391_vu_edu_au/Documents/RESEARCH/Supervision/HDR Students/2022 Mingshan 2022 Aug/ICSC2025/Paper/"/>
    </mc:Choice>
  </mc:AlternateContent>
  <xr:revisionPtr revIDLastSave="80" documentId="8_{85930B36-9AE3-4E4D-AB50-ADF4EE0EFFD2}" xr6:coauthVersionLast="47" xr6:coauthVersionMax="47" xr10:uidLastSave="{F262A749-22D0-41CB-BBDD-FFED651910EA}"/>
  <bookViews>
    <workbookView xWindow="25080" yWindow="-120" windowWidth="29040" windowHeight="15720" xr2:uid="{6A67D80D-845C-49DB-8B3B-1F6DF9009F14}"/>
  </bookViews>
  <sheets>
    <sheet name="runs_results" sheetId="2" r:id="rId1"/>
  </sheets>
  <calcPr calcId="0"/>
</workbook>
</file>

<file path=xl/calcChain.xml><?xml version="1.0" encoding="utf-8"?>
<calcChain xmlns="http://schemas.openxmlformats.org/spreadsheetml/2006/main">
  <c r="W67" i="2" l="1"/>
  <c r="Q34" i="2"/>
  <c r="R34" i="2"/>
  <c r="S34" i="2"/>
  <c r="T34" i="2"/>
  <c r="U34" i="2"/>
  <c r="V34" i="2"/>
  <c r="W34" i="2"/>
  <c r="X34" i="2"/>
  <c r="Y34" i="2"/>
  <c r="Z34" i="2"/>
  <c r="AA34" i="2"/>
  <c r="P34" i="2"/>
  <c r="Q23" i="2"/>
  <c r="R23" i="2"/>
  <c r="S23" i="2"/>
  <c r="T23" i="2"/>
  <c r="U23" i="2"/>
  <c r="V23" i="2"/>
  <c r="W23" i="2"/>
  <c r="X23" i="2"/>
  <c r="Y23" i="2"/>
  <c r="Z23" i="2"/>
  <c r="AA23" i="2"/>
  <c r="P23" i="2"/>
  <c r="Q67" i="2"/>
  <c r="R67" i="2"/>
  <c r="S67" i="2"/>
  <c r="T67" i="2"/>
  <c r="U67" i="2"/>
  <c r="V67" i="2"/>
  <c r="X67" i="2"/>
  <c r="Y67" i="2"/>
  <c r="Z67" i="2"/>
  <c r="AA67" i="2"/>
  <c r="P67" i="2"/>
  <c r="Q56" i="2"/>
  <c r="R56" i="2"/>
  <c r="S56" i="2"/>
  <c r="T56" i="2"/>
  <c r="U56" i="2"/>
  <c r="V56" i="2"/>
  <c r="W56" i="2"/>
  <c r="X56" i="2"/>
  <c r="Y56" i="2"/>
  <c r="Z56" i="2"/>
  <c r="AA56" i="2"/>
  <c r="P56" i="2"/>
  <c r="Q45" i="2"/>
  <c r="R45" i="2"/>
  <c r="S45" i="2"/>
  <c r="T45" i="2"/>
  <c r="U45" i="2"/>
  <c r="V45" i="2"/>
  <c r="W45" i="2"/>
  <c r="X45" i="2"/>
  <c r="Y45" i="2"/>
  <c r="Z45" i="2"/>
  <c r="AA45" i="2"/>
  <c r="P45" i="2"/>
  <c r="Q12" i="2"/>
  <c r="R12" i="2"/>
  <c r="S12" i="2"/>
  <c r="T12" i="2"/>
  <c r="U12" i="2"/>
  <c r="V12" i="2"/>
  <c r="W12" i="2"/>
  <c r="X12" i="2"/>
  <c r="Y12" i="2"/>
  <c r="Z12" i="2"/>
  <c r="AA12" i="2"/>
  <c r="P12" i="2"/>
</calcChain>
</file>

<file path=xl/sharedStrings.xml><?xml version="1.0" encoding="utf-8"?>
<sst xmlns="http://schemas.openxmlformats.org/spreadsheetml/2006/main" count="147" uniqueCount="31">
  <si>
    <t>variant</t>
  </si>
  <si>
    <t>seed</t>
  </si>
  <si>
    <t>max_len</t>
  </si>
  <si>
    <t>d_model</t>
  </si>
  <si>
    <t>nhead</t>
  </si>
  <si>
    <t>layers</t>
  </si>
  <si>
    <t>dropout</t>
  </si>
  <si>
    <t>batch_size</t>
  </si>
  <si>
    <t>epochs</t>
  </si>
  <si>
    <t>lr</t>
  </si>
  <si>
    <t>fixed_threshold</t>
  </si>
  <si>
    <t>earlystop_metric</t>
  </si>
  <si>
    <t>w1</t>
  </si>
  <si>
    <t>w0</t>
  </si>
  <si>
    <t>patience</t>
  </si>
  <si>
    <t>Acc(%)</t>
  </si>
  <si>
    <t>Macro Pre(%)</t>
  </si>
  <si>
    <t>Macro Rec(%)</t>
  </si>
  <si>
    <t>Macro F1(%)</t>
  </si>
  <si>
    <t>Min Pre(%)</t>
  </si>
  <si>
    <t>Min Rec(%)</t>
  </si>
  <si>
    <t>Min F1(%)</t>
  </si>
  <si>
    <t>ROC-AUC</t>
  </si>
  <si>
    <t>PR-AUC(pos)</t>
  </si>
  <si>
    <t>PR-AUC(neg)</t>
  </si>
  <si>
    <t>BalAcc</t>
  </si>
  <si>
    <t>Recall_neg</t>
  </si>
  <si>
    <t>ours</t>
  </si>
  <si>
    <t>val_auprc</t>
  </si>
  <si>
    <t>only_graph</t>
  </si>
  <si>
    <t>only_transformer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</si>
</sst>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0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33" borderId="16" xfId="0" applyFill="1" applyBorder="1"/>
    <xf numFmtId="0" fontId="14" fillId="0" borderId="16" xfId="0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7F57C8-C869-4171-B4FB-7894F7E99AA6}">
  <dimension ref="A1:AA67"/>
  <sheetViews>
    <sheetView tabSelected="1" workbookViewId="0">
      <selection activeCell="F78" sqref="F78"/>
    </sheetView>
  </sheetViews>
  <sheetFormatPr defaultRowHeight="15" x14ac:dyDescent="0.25"/>
  <cols>
    <col min="1" max="1" width="7.140625" bestFit="1" customWidth="1"/>
    <col min="2" max="2" width="5.140625" bestFit="1" customWidth="1"/>
    <col min="3" max="3" width="8.28515625" bestFit="1" customWidth="1"/>
    <col min="4" max="4" width="8.5703125" bestFit="1" customWidth="1"/>
    <col min="5" max="5" width="6.5703125" bestFit="1" customWidth="1"/>
    <col min="6" max="6" width="6.28515625" bestFit="1" customWidth="1"/>
    <col min="7" max="7" width="8" bestFit="1" customWidth="1"/>
    <col min="8" max="8" width="10.28515625" bestFit="1" customWidth="1"/>
    <col min="9" max="9" width="7.42578125" bestFit="1" customWidth="1"/>
    <col min="10" max="10" width="7" bestFit="1" customWidth="1"/>
    <col min="11" max="11" width="14.5703125" bestFit="1" customWidth="1"/>
    <col min="12" max="12" width="15.7109375" bestFit="1" customWidth="1"/>
    <col min="13" max="14" width="12" bestFit="1" customWidth="1"/>
    <col min="15" max="15" width="8.5703125" bestFit="1" customWidth="1"/>
    <col min="16" max="16" width="12" bestFit="1" customWidth="1"/>
    <col min="17" max="17" width="12.85546875" bestFit="1" customWidth="1"/>
    <col min="18" max="18" width="13.28515625" bestFit="1" customWidth="1"/>
    <col min="19" max="20" width="12" bestFit="1" customWidth="1"/>
    <col min="21" max="21" width="11" bestFit="1" customWidth="1"/>
    <col min="22" max="23" width="12" bestFit="1" customWidth="1"/>
    <col min="24" max="24" width="12.28515625" bestFit="1" customWidth="1"/>
    <col min="25" max="25" width="12.140625" bestFit="1" customWidth="1"/>
    <col min="26" max="26" width="12" bestFit="1" customWidth="1"/>
    <col min="27" max="27" width="10.42578125" bestFit="1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s="1" t="s">
        <v>27</v>
      </c>
      <c r="B2" s="2">
        <v>2025</v>
      </c>
      <c r="C2" s="2">
        <v>8</v>
      </c>
      <c r="D2" s="2">
        <v>16</v>
      </c>
      <c r="E2" s="2">
        <v>4</v>
      </c>
      <c r="F2" s="2">
        <v>2</v>
      </c>
      <c r="G2" s="2">
        <v>0.1</v>
      </c>
      <c r="H2" s="2">
        <v>128</v>
      </c>
      <c r="I2" s="2">
        <v>1000</v>
      </c>
      <c r="J2" s="2">
        <v>1E-4</v>
      </c>
      <c r="K2" s="2">
        <v>0.5</v>
      </c>
      <c r="L2" s="2" t="s">
        <v>28</v>
      </c>
      <c r="M2" s="2">
        <v>0.50508936387076098</v>
      </c>
      <c r="N2" s="2">
        <v>49.6220526471458</v>
      </c>
      <c r="O2" s="2">
        <v>10</v>
      </c>
      <c r="P2" s="2">
        <v>97.428046540110202</v>
      </c>
      <c r="Q2" s="2">
        <v>55.507118419600403</v>
      </c>
      <c r="R2" s="2">
        <v>61.572356215213297</v>
      </c>
      <c r="S2" s="2">
        <v>57.347014925373102</v>
      </c>
      <c r="T2" s="2">
        <v>11.764705882352899</v>
      </c>
      <c r="U2" s="2">
        <v>25</v>
      </c>
      <c r="V2" s="2">
        <v>16</v>
      </c>
      <c r="W2" s="2">
        <v>0.85401205936920199</v>
      </c>
      <c r="X2" s="2">
        <v>0.99830759428387505</v>
      </c>
      <c r="Y2" s="2">
        <v>0.12507326151137099</v>
      </c>
      <c r="Z2" s="2">
        <v>0.61572356215213297</v>
      </c>
      <c r="AA2" s="3">
        <v>0.25</v>
      </c>
    </row>
    <row r="3" spans="1:27" x14ac:dyDescent="0.25">
      <c r="A3" s="4" t="s">
        <v>27</v>
      </c>
      <c r="B3" s="5">
        <v>2025</v>
      </c>
      <c r="C3" s="5">
        <v>8</v>
      </c>
      <c r="D3" s="5">
        <v>16</v>
      </c>
      <c r="E3" s="5">
        <v>4</v>
      </c>
      <c r="F3" s="5">
        <v>2</v>
      </c>
      <c r="G3" s="5">
        <v>0.1</v>
      </c>
      <c r="H3" s="5">
        <v>128</v>
      </c>
      <c r="I3" s="5">
        <v>1000</v>
      </c>
      <c r="J3" s="5">
        <v>1E-4</v>
      </c>
      <c r="K3" s="5">
        <v>0.5</v>
      </c>
      <c r="L3" s="5" t="s">
        <v>28</v>
      </c>
      <c r="M3" s="5">
        <v>0.50508936387076098</v>
      </c>
      <c r="N3" s="5">
        <v>49.6220526471458</v>
      </c>
      <c r="O3" s="5">
        <v>10</v>
      </c>
      <c r="P3" s="5">
        <v>97.734231475811399</v>
      </c>
      <c r="Q3" s="5">
        <v>56.522486886232599</v>
      </c>
      <c r="R3" s="5">
        <v>61.726963512677699</v>
      </c>
      <c r="S3" s="5">
        <v>58.314533098761601</v>
      </c>
      <c r="T3" s="5">
        <v>13.793103448275801</v>
      </c>
      <c r="U3" s="5">
        <v>25</v>
      </c>
      <c r="V3" s="5">
        <v>17.7777777777777</v>
      </c>
      <c r="W3" s="5">
        <v>0.87260358688930095</v>
      </c>
      <c r="X3" s="5">
        <v>0.99827875061402505</v>
      </c>
      <c r="Y3" s="5">
        <v>0.14835944015343999</v>
      </c>
      <c r="Z3" s="5">
        <v>0.61726963512677702</v>
      </c>
      <c r="AA3" s="6">
        <v>0.25</v>
      </c>
    </row>
    <row r="4" spans="1:27" x14ac:dyDescent="0.25">
      <c r="A4" s="4" t="s">
        <v>27</v>
      </c>
      <c r="B4" s="5">
        <v>2025</v>
      </c>
      <c r="C4" s="5">
        <v>8</v>
      </c>
      <c r="D4" s="5">
        <v>16</v>
      </c>
      <c r="E4" s="5">
        <v>4</v>
      </c>
      <c r="F4" s="5">
        <v>2</v>
      </c>
      <c r="G4" s="5">
        <v>0.1</v>
      </c>
      <c r="H4" s="5">
        <v>128</v>
      </c>
      <c r="I4" s="5">
        <v>1000</v>
      </c>
      <c r="J4" s="5">
        <v>1E-4</v>
      </c>
      <c r="K4" s="5">
        <v>0.5</v>
      </c>
      <c r="L4" s="5" t="s">
        <v>28</v>
      </c>
      <c r="M4" s="5">
        <v>0.50508936387076098</v>
      </c>
      <c r="N4" s="5">
        <v>49.6220526471458</v>
      </c>
      <c r="O4" s="5">
        <v>10</v>
      </c>
      <c r="P4" s="5">
        <v>97.121861604409006</v>
      </c>
      <c r="Q4" s="5">
        <v>55.752083588674999</v>
      </c>
      <c r="R4" s="5">
        <v>64.511827458255993</v>
      </c>
      <c r="S4" s="5">
        <v>58.039614461519903</v>
      </c>
      <c r="T4" s="5">
        <v>12.1951219512195</v>
      </c>
      <c r="U4" s="5">
        <v>31.25</v>
      </c>
      <c r="V4" s="5">
        <v>17.543859649122801</v>
      </c>
      <c r="W4" s="5">
        <v>0.79758039579468099</v>
      </c>
      <c r="X4" s="5">
        <v>0.99724244725728906</v>
      </c>
      <c r="Y4" s="5">
        <v>0.106429438548098</v>
      </c>
      <c r="Z4" s="5">
        <v>0.64511827458255999</v>
      </c>
      <c r="AA4" s="6">
        <v>0.3125</v>
      </c>
    </row>
    <row r="5" spans="1:27" x14ac:dyDescent="0.25">
      <c r="A5" s="4" t="s">
        <v>27</v>
      </c>
      <c r="B5" s="5">
        <v>2025</v>
      </c>
      <c r="C5" s="5">
        <v>8</v>
      </c>
      <c r="D5" s="5">
        <v>16</v>
      </c>
      <c r="E5" s="5">
        <v>4</v>
      </c>
      <c r="F5" s="5">
        <v>2</v>
      </c>
      <c r="G5" s="5">
        <v>0.1</v>
      </c>
      <c r="H5" s="5">
        <v>128</v>
      </c>
      <c r="I5" s="5">
        <v>1000</v>
      </c>
      <c r="J5" s="5">
        <v>1E-4</v>
      </c>
      <c r="K5" s="5">
        <v>0.5</v>
      </c>
      <c r="L5" s="5" t="s">
        <v>28</v>
      </c>
      <c r="M5" s="5">
        <v>0.50508936387076098</v>
      </c>
      <c r="N5" s="5">
        <v>49.6220526471458</v>
      </c>
      <c r="O5" s="5">
        <v>10</v>
      </c>
      <c r="P5" s="5">
        <v>98.040416411512496</v>
      </c>
      <c r="Q5" s="5">
        <v>57.960430909467497</v>
      </c>
      <c r="R5" s="5">
        <v>61.8815708101422</v>
      </c>
      <c r="S5" s="5">
        <v>59.5040297582145</v>
      </c>
      <c r="T5" s="5">
        <v>16.6666666666666</v>
      </c>
      <c r="U5" s="5">
        <v>25</v>
      </c>
      <c r="V5" s="5">
        <v>20</v>
      </c>
      <c r="W5" s="5">
        <v>0.77060142238713603</v>
      </c>
      <c r="X5" s="5">
        <v>0.99699587993197902</v>
      </c>
      <c r="Y5" s="5">
        <v>0.14452352291232501</v>
      </c>
      <c r="Z5" s="5">
        <v>0.61881570810142195</v>
      </c>
      <c r="AA5" s="6">
        <v>0.25</v>
      </c>
    </row>
    <row r="6" spans="1:27" x14ac:dyDescent="0.25">
      <c r="A6" s="4" t="s">
        <v>27</v>
      </c>
      <c r="B6" s="5">
        <v>2025</v>
      </c>
      <c r="C6" s="5">
        <v>8</v>
      </c>
      <c r="D6" s="5">
        <v>16</v>
      </c>
      <c r="E6" s="5">
        <v>4</v>
      </c>
      <c r="F6" s="5">
        <v>2</v>
      </c>
      <c r="G6" s="5">
        <v>0.1</v>
      </c>
      <c r="H6" s="5">
        <v>128</v>
      </c>
      <c r="I6" s="5">
        <v>1000</v>
      </c>
      <c r="J6" s="5">
        <v>1E-4</v>
      </c>
      <c r="K6" s="5">
        <v>0.5</v>
      </c>
      <c r="L6" s="5" t="s">
        <v>28</v>
      </c>
      <c r="M6" s="5">
        <v>0.50508936387076098</v>
      </c>
      <c r="N6" s="5">
        <v>49.6220526471458</v>
      </c>
      <c r="O6" s="5">
        <v>10</v>
      </c>
      <c r="P6" s="5">
        <v>96.080832823025105</v>
      </c>
      <c r="Q6" s="5">
        <v>54.682136045772403</v>
      </c>
      <c r="R6" s="5">
        <v>67.080241187384004</v>
      </c>
      <c r="S6" s="5">
        <v>56.891602045867003</v>
      </c>
      <c r="T6" s="5">
        <v>10</v>
      </c>
      <c r="U6" s="5">
        <v>37.5</v>
      </c>
      <c r="V6" s="5">
        <v>15.789473684210501</v>
      </c>
      <c r="W6" s="5">
        <v>0.82560296846011105</v>
      </c>
      <c r="X6" s="5">
        <v>0.99755472759643704</v>
      </c>
      <c r="Y6" s="5">
        <v>8.6737532000172798E-2</v>
      </c>
      <c r="Z6" s="5">
        <v>0.67080241187384004</v>
      </c>
      <c r="AA6" s="6">
        <v>0.375</v>
      </c>
    </row>
    <row r="7" spans="1:27" x14ac:dyDescent="0.25">
      <c r="A7" s="4" t="s">
        <v>27</v>
      </c>
      <c r="B7" s="5">
        <v>2025</v>
      </c>
      <c r="C7" s="5">
        <v>8</v>
      </c>
      <c r="D7" s="5">
        <v>16</v>
      </c>
      <c r="E7" s="5">
        <v>4</v>
      </c>
      <c r="F7" s="5">
        <v>2</v>
      </c>
      <c r="G7" s="5">
        <v>0.1</v>
      </c>
      <c r="H7" s="5">
        <v>128</v>
      </c>
      <c r="I7" s="5">
        <v>1000</v>
      </c>
      <c r="J7" s="5">
        <v>1E-4</v>
      </c>
      <c r="K7" s="5">
        <v>0.5</v>
      </c>
      <c r="L7" s="5" t="s">
        <v>28</v>
      </c>
      <c r="M7" s="5">
        <v>0.50508936387076098</v>
      </c>
      <c r="N7" s="5">
        <v>49.6220526471458</v>
      </c>
      <c r="O7" s="5">
        <v>10</v>
      </c>
      <c r="P7" s="5">
        <v>98.714023270055094</v>
      </c>
      <c r="Q7" s="5">
        <v>60.680076628352403</v>
      </c>
      <c r="R7" s="5">
        <v>56.033549783549702</v>
      </c>
      <c r="S7" s="5">
        <v>57.676025917926502</v>
      </c>
      <c r="T7" s="5">
        <v>22.2222222222222</v>
      </c>
      <c r="U7" s="5">
        <v>12.5</v>
      </c>
      <c r="V7" s="5">
        <v>16</v>
      </c>
      <c r="W7" s="5">
        <v>0.82332251082250996</v>
      </c>
      <c r="X7" s="5">
        <v>0.997596438449045</v>
      </c>
      <c r="Y7" s="5">
        <v>8.7957743454336504E-2</v>
      </c>
      <c r="Z7" s="5">
        <v>0.56033549783549697</v>
      </c>
      <c r="AA7" s="6">
        <v>0.125</v>
      </c>
    </row>
    <row r="8" spans="1:27" x14ac:dyDescent="0.25">
      <c r="A8" s="4" t="s">
        <v>27</v>
      </c>
      <c r="B8" s="5">
        <v>2025</v>
      </c>
      <c r="C8" s="5">
        <v>8</v>
      </c>
      <c r="D8" s="5">
        <v>16</v>
      </c>
      <c r="E8" s="5">
        <v>4</v>
      </c>
      <c r="F8" s="5">
        <v>2</v>
      </c>
      <c r="G8" s="5">
        <v>0.1</v>
      </c>
      <c r="H8" s="5">
        <v>128</v>
      </c>
      <c r="I8" s="5">
        <v>1000</v>
      </c>
      <c r="J8" s="5">
        <v>1E-4</v>
      </c>
      <c r="K8" s="5">
        <v>0.5</v>
      </c>
      <c r="L8" s="5" t="s">
        <v>28</v>
      </c>
      <c r="M8" s="5">
        <v>0.50508936387076098</v>
      </c>
      <c r="N8" s="5">
        <v>49.6220526471458</v>
      </c>
      <c r="O8" s="5">
        <v>10</v>
      </c>
      <c r="P8" s="5">
        <v>97.489283527250393</v>
      </c>
      <c r="Q8" s="5">
        <v>54.432966855946198</v>
      </c>
      <c r="R8" s="5">
        <v>58.5091991341991</v>
      </c>
      <c r="S8" s="5">
        <v>55.746134983112199</v>
      </c>
      <c r="T8" s="5">
        <v>9.67741935483871</v>
      </c>
      <c r="U8" s="5">
        <v>18.75</v>
      </c>
      <c r="V8" s="5">
        <v>12.7659574468085</v>
      </c>
      <c r="W8" s="5">
        <v>0.79986085343228197</v>
      </c>
      <c r="X8" s="5">
        <v>0.99740265520429605</v>
      </c>
      <c r="Y8" s="5">
        <v>0.137746912802166</v>
      </c>
      <c r="Z8" s="5">
        <v>0.58509199134199097</v>
      </c>
      <c r="AA8" s="6">
        <v>0.1875</v>
      </c>
    </row>
    <row r="9" spans="1:27" x14ac:dyDescent="0.25">
      <c r="A9" s="4" t="s">
        <v>27</v>
      </c>
      <c r="B9" s="5">
        <v>2025</v>
      </c>
      <c r="C9" s="5">
        <v>8</v>
      </c>
      <c r="D9" s="5">
        <v>16</v>
      </c>
      <c r="E9" s="5">
        <v>4</v>
      </c>
      <c r="F9" s="5">
        <v>2</v>
      </c>
      <c r="G9" s="5">
        <v>0.1</v>
      </c>
      <c r="H9" s="5">
        <v>128</v>
      </c>
      <c r="I9" s="5">
        <v>1000</v>
      </c>
      <c r="J9" s="5">
        <v>1E-4</v>
      </c>
      <c r="K9" s="5">
        <v>0.5</v>
      </c>
      <c r="L9" s="5" t="s">
        <v>28</v>
      </c>
      <c r="M9" s="5">
        <v>0.50508936387076098</v>
      </c>
      <c r="N9" s="5">
        <v>49.6220526471458</v>
      </c>
      <c r="O9" s="5">
        <v>10</v>
      </c>
      <c r="P9" s="5">
        <v>96.570728720146903</v>
      </c>
      <c r="Q9" s="5">
        <v>54.652558433354301</v>
      </c>
      <c r="R9" s="5">
        <v>64.233534322820006</v>
      </c>
      <c r="S9" s="5">
        <v>56.7007575757575</v>
      </c>
      <c r="T9" s="5">
        <v>10</v>
      </c>
      <c r="U9" s="5">
        <v>31.25</v>
      </c>
      <c r="V9" s="5">
        <v>15.151515151515101</v>
      </c>
      <c r="W9" s="5">
        <v>0.77925943104514495</v>
      </c>
      <c r="X9" s="5">
        <v>0.99706948374710502</v>
      </c>
      <c r="Y9" s="5">
        <v>0.116612719849862</v>
      </c>
      <c r="Z9" s="5">
        <v>0.64233534322819996</v>
      </c>
      <c r="AA9" s="6">
        <v>0.3125</v>
      </c>
    </row>
    <row r="10" spans="1:27" x14ac:dyDescent="0.25">
      <c r="A10" s="4" t="s">
        <v>27</v>
      </c>
      <c r="B10" s="5">
        <v>2025</v>
      </c>
      <c r="C10" s="5">
        <v>8</v>
      </c>
      <c r="D10" s="5">
        <v>16</v>
      </c>
      <c r="E10" s="5">
        <v>4</v>
      </c>
      <c r="F10" s="5">
        <v>2</v>
      </c>
      <c r="G10" s="5">
        <v>0.1</v>
      </c>
      <c r="H10" s="5">
        <v>128</v>
      </c>
      <c r="I10" s="5">
        <v>1000</v>
      </c>
      <c r="J10" s="5">
        <v>1E-4</v>
      </c>
      <c r="K10" s="5">
        <v>0.5</v>
      </c>
      <c r="L10" s="5" t="s">
        <v>28</v>
      </c>
      <c r="M10" s="5">
        <v>0.50508936387076098</v>
      </c>
      <c r="N10" s="5">
        <v>49.6220526471458</v>
      </c>
      <c r="O10" s="5">
        <v>10</v>
      </c>
      <c r="P10" s="5">
        <v>95.713410900183703</v>
      </c>
      <c r="Q10" s="5">
        <v>53.555708253664697</v>
      </c>
      <c r="R10" s="5">
        <v>63.800633889919602</v>
      </c>
      <c r="S10" s="5">
        <v>55.151443816697999</v>
      </c>
      <c r="T10" s="5">
        <v>7.8125</v>
      </c>
      <c r="U10" s="5">
        <v>31.25</v>
      </c>
      <c r="V10" s="5">
        <v>12.5</v>
      </c>
      <c r="W10" s="5">
        <v>0.809137291280148</v>
      </c>
      <c r="X10" s="5">
        <v>0.99730007351736705</v>
      </c>
      <c r="Y10" s="5">
        <v>9.3512940724378699E-2</v>
      </c>
      <c r="Z10" s="5">
        <v>0.638006338899196</v>
      </c>
      <c r="AA10" s="6">
        <v>0.3125</v>
      </c>
    </row>
    <row r="11" spans="1:27" x14ac:dyDescent="0.25">
      <c r="A11" s="4" t="s">
        <v>27</v>
      </c>
      <c r="B11" s="5">
        <v>2025</v>
      </c>
      <c r="C11" s="5">
        <v>8</v>
      </c>
      <c r="D11" s="5">
        <v>16</v>
      </c>
      <c r="E11" s="5">
        <v>4</v>
      </c>
      <c r="F11" s="5">
        <v>2</v>
      </c>
      <c r="G11" s="5">
        <v>0.1</v>
      </c>
      <c r="H11" s="5">
        <v>128</v>
      </c>
      <c r="I11" s="5">
        <v>1000</v>
      </c>
      <c r="J11" s="5">
        <v>1E-4</v>
      </c>
      <c r="K11" s="5">
        <v>0.5</v>
      </c>
      <c r="L11" s="5" t="s">
        <v>28</v>
      </c>
      <c r="M11" s="5">
        <v>0.50508936387076098</v>
      </c>
      <c r="N11" s="5">
        <v>49.6220526471458</v>
      </c>
      <c r="O11" s="5">
        <v>10</v>
      </c>
      <c r="P11" s="5">
        <v>96.938150642988305</v>
      </c>
      <c r="Q11" s="5">
        <v>55.335688540534299</v>
      </c>
      <c r="R11" s="5">
        <v>64.419063079777303</v>
      </c>
      <c r="S11" s="5">
        <v>57.553545435641503</v>
      </c>
      <c r="T11" s="5">
        <v>11.363636363636299</v>
      </c>
      <c r="U11" s="5">
        <v>31.25</v>
      </c>
      <c r="V11" s="5">
        <v>16.6666666666666</v>
      </c>
      <c r="W11" s="5">
        <v>0.80801638837353096</v>
      </c>
      <c r="X11" s="5">
        <v>0.99748106466282704</v>
      </c>
      <c r="Y11" s="5">
        <v>0.114690108902903</v>
      </c>
      <c r="Z11" s="5">
        <v>0.64419063079777295</v>
      </c>
      <c r="AA11" s="6">
        <v>0.3125</v>
      </c>
    </row>
    <row r="12" spans="1:27" x14ac:dyDescent="0.25">
      <c r="A12" s="7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10" t="str">
        <f>TEXT(AVERAGE(P2:P11),"0.00")&amp;" ± "&amp;TEXT(_xlfn.STDEV.S(P2:P11),"0.00")</f>
        <v>97.18 ± 0.90</v>
      </c>
      <c r="Q12" s="10" t="str">
        <f t="shared" ref="Q12:AA12" si="0">TEXT(AVERAGE(Q2:Q11),"0.00")&amp;" ± "&amp;TEXT(_xlfn.STDEV.S(Q2:Q11),"0.00")</f>
        <v>55.91 ± 2.07</v>
      </c>
      <c r="R12" s="10" t="str">
        <f t="shared" si="0"/>
        <v>62.38 ± 3.21</v>
      </c>
      <c r="S12" s="10" t="str">
        <f t="shared" si="0"/>
        <v>57.29 ± 1.26</v>
      </c>
      <c r="T12" s="10" t="str">
        <f t="shared" si="0"/>
        <v>12.55 ± 4.19</v>
      </c>
      <c r="U12" s="10" t="str">
        <f t="shared" si="0"/>
        <v>26.88 ± 7.25</v>
      </c>
      <c r="V12" s="10" t="str">
        <f t="shared" si="0"/>
        <v>16.02 ± 2.25</v>
      </c>
      <c r="W12" s="11" t="str">
        <f t="shared" si="0"/>
        <v>0.81 ± 0.03</v>
      </c>
      <c r="X12" s="8" t="str">
        <f t="shared" si="0"/>
        <v>1.00 ± 0.00</v>
      </c>
      <c r="Y12" s="8" t="str">
        <f t="shared" si="0"/>
        <v>0.12 ± 0.02</v>
      </c>
      <c r="Z12" s="8" t="str">
        <f t="shared" si="0"/>
        <v>0.62 ± 0.03</v>
      </c>
      <c r="AA12" s="9" t="str">
        <f t="shared" si="0"/>
        <v>0.27 ± 0.07</v>
      </c>
    </row>
    <row r="13" spans="1:27" x14ac:dyDescent="0.25">
      <c r="A13" s="1" t="s">
        <v>29</v>
      </c>
      <c r="B13" s="2">
        <v>2025</v>
      </c>
      <c r="C13" s="2">
        <v>8</v>
      </c>
      <c r="D13" s="2">
        <v>16</v>
      </c>
      <c r="E13" s="2">
        <v>4</v>
      </c>
      <c r="F13" s="2">
        <v>2</v>
      </c>
      <c r="G13" s="2">
        <v>0.1</v>
      </c>
      <c r="H13" s="2">
        <v>128</v>
      </c>
      <c r="I13" s="2">
        <v>1000</v>
      </c>
      <c r="J13" s="2">
        <v>1E-4</v>
      </c>
      <c r="K13" s="2">
        <v>0.5</v>
      </c>
      <c r="L13" s="2" t="s">
        <v>28</v>
      </c>
      <c r="M13" s="2">
        <v>0.50508936387076098</v>
      </c>
      <c r="N13" s="2">
        <v>49.6220526471458</v>
      </c>
      <c r="O13" s="2">
        <v>10</v>
      </c>
      <c r="P13" s="2">
        <v>86.650336803429198</v>
      </c>
      <c r="Q13" s="2">
        <v>50.792193910745802</v>
      </c>
      <c r="R13" s="2">
        <v>59.224257884972097</v>
      </c>
      <c r="S13" s="2">
        <v>48.60509568853</v>
      </c>
      <c r="T13" s="2">
        <v>2.3584905660377302</v>
      </c>
      <c r="U13" s="2">
        <v>31.25</v>
      </c>
      <c r="V13" s="2">
        <v>4.3859649122807003</v>
      </c>
      <c r="W13" s="2">
        <v>0.76325757575757502</v>
      </c>
      <c r="X13" s="2">
        <v>0.99690394028442098</v>
      </c>
      <c r="Y13" s="2">
        <v>2.63322045622803E-2</v>
      </c>
      <c r="Z13" s="2">
        <v>0.59224257884972098</v>
      </c>
      <c r="AA13" s="3">
        <v>0.3125</v>
      </c>
    </row>
    <row r="14" spans="1:27" x14ac:dyDescent="0.25">
      <c r="A14" s="4" t="s">
        <v>29</v>
      </c>
      <c r="B14" s="5">
        <v>2025</v>
      </c>
      <c r="C14" s="5">
        <v>8</v>
      </c>
      <c r="D14" s="5">
        <v>16</v>
      </c>
      <c r="E14" s="5">
        <v>4</v>
      </c>
      <c r="F14" s="5">
        <v>2</v>
      </c>
      <c r="G14" s="5">
        <v>0.1</v>
      </c>
      <c r="H14" s="5">
        <v>128</v>
      </c>
      <c r="I14" s="5">
        <v>1000</v>
      </c>
      <c r="J14" s="5">
        <v>1E-4</v>
      </c>
      <c r="K14" s="5">
        <v>0.5</v>
      </c>
      <c r="L14" s="5" t="s">
        <v>28</v>
      </c>
      <c r="M14" s="5">
        <v>0.50508936387076098</v>
      </c>
      <c r="N14" s="5">
        <v>49.6220526471458</v>
      </c>
      <c r="O14" s="5">
        <v>10</v>
      </c>
      <c r="P14" s="5">
        <v>83.282302510716406</v>
      </c>
      <c r="Q14" s="5">
        <v>50.5336941560969</v>
      </c>
      <c r="R14" s="5">
        <v>57.523577612863299</v>
      </c>
      <c r="S14" s="5">
        <v>47.190854180758102</v>
      </c>
      <c r="T14" s="5">
        <v>1.87265917602996</v>
      </c>
      <c r="U14" s="5">
        <v>31.25</v>
      </c>
      <c r="V14" s="5">
        <v>3.5335689045936398</v>
      </c>
      <c r="W14" s="5">
        <v>0.73032622139764902</v>
      </c>
      <c r="X14" s="5">
        <v>0.99644451999449601</v>
      </c>
      <c r="Y14" s="5">
        <v>2.22730456624546E-2</v>
      </c>
      <c r="Z14" s="5">
        <v>0.57523577612863297</v>
      </c>
      <c r="AA14" s="6">
        <v>0.3125</v>
      </c>
    </row>
    <row r="15" spans="1:27" x14ac:dyDescent="0.25">
      <c r="A15" s="4" t="s">
        <v>29</v>
      </c>
      <c r="B15" s="5">
        <v>2025</v>
      </c>
      <c r="C15" s="5">
        <v>8</v>
      </c>
      <c r="D15" s="5">
        <v>16</v>
      </c>
      <c r="E15" s="5">
        <v>4</v>
      </c>
      <c r="F15" s="5">
        <v>2</v>
      </c>
      <c r="G15" s="5">
        <v>0.1</v>
      </c>
      <c r="H15" s="5">
        <v>128</v>
      </c>
      <c r="I15" s="5">
        <v>1000</v>
      </c>
      <c r="J15" s="5">
        <v>1E-4</v>
      </c>
      <c r="K15" s="5">
        <v>0.5</v>
      </c>
      <c r="L15" s="5" t="s">
        <v>28</v>
      </c>
      <c r="M15" s="5">
        <v>0.50508936387076098</v>
      </c>
      <c r="N15" s="5">
        <v>49.6220526471458</v>
      </c>
      <c r="O15" s="5">
        <v>10</v>
      </c>
      <c r="P15" s="5">
        <v>86.527862829148802</v>
      </c>
      <c r="Q15" s="5">
        <v>51.5350961847777</v>
      </c>
      <c r="R15" s="5">
        <v>68.444650587507695</v>
      </c>
      <c r="S15" s="5">
        <v>49.759467472170897</v>
      </c>
      <c r="T15" s="5">
        <v>3.63636363636363</v>
      </c>
      <c r="U15" s="5">
        <v>50</v>
      </c>
      <c r="V15" s="5">
        <v>6.7796610169491496</v>
      </c>
      <c r="W15" s="5">
        <v>0.71405380333951696</v>
      </c>
      <c r="X15" s="5">
        <v>0.996037653854003</v>
      </c>
      <c r="Y15" s="5">
        <v>2.34347876099412E-2</v>
      </c>
      <c r="Z15" s="5">
        <v>0.68444650587507705</v>
      </c>
      <c r="AA15" s="6">
        <v>0.5</v>
      </c>
    </row>
    <row r="16" spans="1:27" x14ac:dyDescent="0.25">
      <c r="A16" s="4" t="s">
        <v>29</v>
      </c>
      <c r="B16" s="5">
        <v>2025</v>
      </c>
      <c r="C16" s="5">
        <v>8</v>
      </c>
      <c r="D16" s="5">
        <v>16</v>
      </c>
      <c r="E16" s="5">
        <v>4</v>
      </c>
      <c r="F16" s="5">
        <v>2</v>
      </c>
      <c r="G16" s="5">
        <v>0.1</v>
      </c>
      <c r="H16" s="5">
        <v>128</v>
      </c>
      <c r="I16" s="5">
        <v>1000</v>
      </c>
      <c r="J16" s="5">
        <v>1E-4</v>
      </c>
      <c r="K16" s="5">
        <v>0.5</v>
      </c>
      <c r="L16" s="5" t="s">
        <v>28</v>
      </c>
      <c r="M16" s="5">
        <v>0.50508936387076098</v>
      </c>
      <c r="N16" s="5">
        <v>49.6220526471458</v>
      </c>
      <c r="O16" s="5">
        <v>10</v>
      </c>
      <c r="P16" s="5">
        <v>87.262706674831605</v>
      </c>
      <c r="Q16" s="5">
        <v>51.383682244643801</v>
      </c>
      <c r="R16" s="5">
        <v>65.721629560915204</v>
      </c>
      <c r="S16" s="5">
        <v>49.7365959915237</v>
      </c>
      <c r="T16" s="5">
        <v>3.3980582524271798</v>
      </c>
      <c r="U16" s="5">
        <v>43.75</v>
      </c>
      <c r="V16" s="5">
        <v>6.3063063063062996</v>
      </c>
      <c r="W16" s="5">
        <v>0.69712430426716099</v>
      </c>
      <c r="X16" s="5">
        <v>0.99564236750826096</v>
      </c>
      <c r="Y16" s="5">
        <v>2.2353046432812201E-2</v>
      </c>
      <c r="Z16" s="5">
        <v>0.65721629560915196</v>
      </c>
      <c r="AA16" s="6">
        <v>0.4375</v>
      </c>
    </row>
    <row r="17" spans="1:27" x14ac:dyDescent="0.25">
      <c r="A17" s="4" t="s">
        <v>29</v>
      </c>
      <c r="B17" s="5">
        <v>2025</v>
      </c>
      <c r="C17" s="5">
        <v>8</v>
      </c>
      <c r="D17" s="5">
        <v>16</v>
      </c>
      <c r="E17" s="5">
        <v>4</v>
      </c>
      <c r="F17" s="5">
        <v>2</v>
      </c>
      <c r="G17" s="5">
        <v>0.1</v>
      </c>
      <c r="H17" s="5">
        <v>128</v>
      </c>
      <c r="I17" s="5">
        <v>1000</v>
      </c>
      <c r="J17" s="5">
        <v>1E-4</v>
      </c>
      <c r="K17" s="5">
        <v>0.5</v>
      </c>
      <c r="L17" s="5" t="s">
        <v>28</v>
      </c>
      <c r="M17" s="5">
        <v>0.50508936387076098</v>
      </c>
      <c r="N17" s="5">
        <v>49.6220526471458</v>
      </c>
      <c r="O17" s="5">
        <v>10</v>
      </c>
      <c r="P17" s="5">
        <v>86.772810777709694</v>
      </c>
      <c r="Q17" s="5">
        <v>51.063229455738004</v>
      </c>
      <c r="R17" s="5">
        <v>62.380179344464999</v>
      </c>
      <c r="S17" s="5">
        <v>49.076608572121501</v>
      </c>
      <c r="T17" s="5">
        <v>2.8301886792452802</v>
      </c>
      <c r="U17" s="5">
        <v>37.5</v>
      </c>
      <c r="V17" s="5">
        <v>5.2631578947368398</v>
      </c>
      <c r="W17" s="5">
        <v>0.72754329004328999</v>
      </c>
      <c r="X17" s="5">
        <v>0.99640991172605897</v>
      </c>
      <c r="Y17" s="5">
        <v>2.3382829912742799E-2</v>
      </c>
      <c r="Z17" s="5">
        <v>0.62380179344465003</v>
      </c>
      <c r="AA17" s="6">
        <v>0.375</v>
      </c>
    </row>
    <row r="18" spans="1:27" x14ac:dyDescent="0.25">
      <c r="A18" s="4" t="s">
        <v>29</v>
      </c>
      <c r="B18" s="5">
        <v>2025</v>
      </c>
      <c r="C18" s="5">
        <v>8</v>
      </c>
      <c r="D18" s="5">
        <v>16</v>
      </c>
      <c r="E18" s="5">
        <v>4</v>
      </c>
      <c r="F18" s="5">
        <v>2</v>
      </c>
      <c r="G18" s="5">
        <v>0.1</v>
      </c>
      <c r="H18" s="5">
        <v>128</v>
      </c>
      <c r="I18" s="5">
        <v>1000</v>
      </c>
      <c r="J18" s="5">
        <v>1E-4</v>
      </c>
      <c r="K18" s="5">
        <v>0.5</v>
      </c>
      <c r="L18" s="5" t="s">
        <v>28</v>
      </c>
      <c r="M18" s="5">
        <v>0.50508936387076098</v>
      </c>
      <c r="N18" s="5">
        <v>49.6220526471458</v>
      </c>
      <c r="O18" s="5">
        <v>10</v>
      </c>
      <c r="P18" s="5">
        <v>84.017146356399195</v>
      </c>
      <c r="Q18" s="5">
        <v>50.581262984148601</v>
      </c>
      <c r="R18" s="5">
        <v>57.894635126777899</v>
      </c>
      <c r="S18" s="5">
        <v>47.487756346678601</v>
      </c>
      <c r="T18" s="5">
        <v>1.9607843137254899</v>
      </c>
      <c r="U18" s="5">
        <v>31.25</v>
      </c>
      <c r="V18" s="5">
        <v>3.6900369003689999</v>
      </c>
      <c r="W18" s="5">
        <v>0.72653834260977102</v>
      </c>
      <c r="X18" s="5">
        <v>0.99627381268930704</v>
      </c>
      <c r="Y18" s="5">
        <v>2.4761193017280501E-2</v>
      </c>
      <c r="Z18" s="5">
        <v>0.57894635126777905</v>
      </c>
      <c r="AA18" s="6">
        <v>0.3125</v>
      </c>
    </row>
    <row r="19" spans="1:27" x14ac:dyDescent="0.25">
      <c r="A19" s="4" t="s">
        <v>29</v>
      </c>
      <c r="B19" s="5">
        <v>2025</v>
      </c>
      <c r="C19" s="5">
        <v>8</v>
      </c>
      <c r="D19" s="5">
        <v>16</v>
      </c>
      <c r="E19" s="5">
        <v>4</v>
      </c>
      <c r="F19" s="5">
        <v>2</v>
      </c>
      <c r="G19" s="5">
        <v>0.1</v>
      </c>
      <c r="H19" s="5">
        <v>128</v>
      </c>
      <c r="I19" s="5">
        <v>1000</v>
      </c>
      <c r="J19" s="5">
        <v>1E-4</v>
      </c>
      <c r="K19" s="5">
        <v>0.5</v>
      </c>
      <c r="L19" s="5" t="s">
        <v>28</v>
      </c>
      <c r="M19" s="5">
        <v>0.50508936387076098</v>
      </c>
      <c r="N19" s="5">
        <v>49.6220526471458</v>
      </c>
      <c r="O19" s="5">
        <v>10</v>
      </c>
      <c r="P19" s="5">
        <v>84.996938150642904</v>
      </c>
      <c r="Q19" s="5">
        <v>50.651477041474799</v>
      </c>
      <c r="R19" s="5">
        <v>58.389378478664099</v>
      </c>
      <c r="S19" s="5">
        <v>47.892368505024002</v>
      </c>
      <c r="T19" s="5">
        <v>2.0920502092050199</v>
      </c>
      <c r="U19" s="5">
        <v>31.25</v>
      </c>
      <c r="V19" s="5">
        <v>3.9215686274509798</v>
      </c>
      <c r="W19" s="5">
        <v>0.74837662337662303</v>
      </c>
      <c r="X19" s="5">
        <v>0.99665177915104297</v>
      </c>
      <c r="Y19" s="5">
        <v>2.9294865422756299E-2</v>
      </c>
      <c r="Z19" s="5">
        <v>0.583893784786641</v>
      </c>
      <c r="AA19" s="6">
        <v>0.3125</v>
      </c>
    </row>
    <row r="20" spans="1:27" x14ac:dyDescent="0.25">
      <c r="A20" s="4" t="s">
        <v>29</v>
      </c>
      <c r="B20" s="5">
        <v>2025</v>
      </c>
      <c r="C20" s="5">
        <v>8</v>
      </c>
      <c r="D20" s="5">
        <v>16</v>
      </c>
      <c r="E20" s="5">
        <v>4</v>
      </c>
      <c r="F20" s="5">
        <v>2</v>
      </c>
      <c r="G20" s="5">
        <v>0.1</v>
      </c>
      <c r="H20" s="5">
        <v>128</v>
      </c>
      <c r="I20" s="5">
        <v>1000</v>
      </c>
      <c r="J20" s="5">
        <v>1E-4</v>
      </c>
      <c r="K20" s="5">
        <v>0.5</v>
      </c>
      <c r="L20" s="5" t="s">
        <v>28</v>
      </c>
      <c r="M20" s="5">
        <v>0.50508936387076098</v>
      </c>
      <c r="N20" s="5">
        <v>49.6220526471458</v>
      </c>
      <c r="O20" s="5">
        <v>10</v>
      </c>
      <c r="P20" s="5">
        <v>84.200857317819896</v>
      </c>
      <c r="Q20" s="5">
        <v>51.040390114379001</v>
      </c>
      <c r="R20" s="5">
        <v>64.175556586270801</v>
      </c>
      <c r="S20" s="5">
        <v>48.264912177295699</v>
      </c>
      <c r="T20" s="5">
        <v>2.734375</v>
      </c>
      <c r="U20" s="5">
        <v>43.75</v>
      </c>
      <c r="V20" s="5">
        <v>5.1470588235294104</v>
      </c>
      <c r="W20" s="5">
        <v>0.73245207173778604</v>
      </c>
      <c r="X20" s="5">
        <v>0.99636553390304505</v>
      </c>
      <c r="Y20" s="5">
        <v>2.4344862641997901E-2</v>
      </c>
      <c r="Z20" s="5">
        <v>0.64175556586270799</v>
      </c>
      <c r="AA20" s="6">
        <v>0.4375</v>
      </c>
    </row>
    <row r="21" spans="1:27" x14ac:dyDescent="0.25">
      <c r="A21" s="4" t="s">
        <v>29</v>
      </c>
      <c r="B21" s="5">
        <v>2025</v>
      </c>
      <c r="C21" s="5">
        <v>8</v>
      </c>
      <c r="D21" s="5">
        <v>16</v>
      </c>
      <c r="E21" s="5">
        <v>4</v>
      </c>
      <c r="F21" s="5">
        <v>2</v>
      </c>
      <c r="G21" s="5">
        <v>0.1</v>
      </c>
      <c r="H21" s="5">
        <v>128</v>
      </c>
      <c r="I21" s="5">
        <v>1000</v>
      </c>
      <c r="J21" s="5">
        <v>1E-4</v>
      </c>
      <c r="K21" s="5">
        <v>0.5</v>
      </c>
      <c r="L21" s="5" t="s">
        <v>28</v>
      </c>
      <c r="M21" s="5">
        <v>0.50508936387076098</v>
      </c>
      <c r="N21" s="5">
        <v>49.6220526471458</v>
      </c>
      <c r="O21" s="5">
        <v>10</v>
      </c>
      <c r="P21" s="5">
        <v>84.996938150642904</v>
      </c>
      <c r="Q21" s="5">
        <v>50.651477041474799</v>
      </c>
      <c r="R21" s="5">
        <v>58.389378478664099</v>
      </c>
      <c r="S21" s="5">
        <v>47.892368505024002</v>
      </c>
      <c r="T21" s="5">
        <v>2.0920502092050199</v>
      </c>
      <c r="U21" s="5">
        <v>31.25</v>
      </c>
      <c r="V21" s="5">
        <v>3.9215686274509798</v>
      </c>
      <c r="W21" s="5">
        <v>0.71304885590599798</v>
      </c>
      <c r="X21" s="5">
        <v>0.99585552262424704</v>
      </c>
      <c r="Y21" s="5">
        <v>2.5263894415644E-2</v>
      </c>
      <c r="Z21" s="5">
        <v>0.583893784786641</v>
      </c>
      <c r="AA21" s="6">
        <v>0.3125</v>
      </c>
    </row>
    <row r="22" spans="1:27" x14ac:dyDescent="0.25">
      <c r="A22" s="4" t="s">
        <v>29</v>
      </c>
      <c r="B22" s="5">
        <v>2025</v>
      </c>
      <c r="C22" s="5">
        <v>8</v>
      </c>
      <c r="D22" s="5">
        <v>16</v>
      </c>
      <c r="E22" s="5">
        <v>4</v>
      </c>
      <c r="F22" s="5">
        <v>2</v>
      </c>
      <c r="G22" s="5">
        <v>0.1</v>
      </c>
      <c r="H22" s="5">
        <v>128</v>
      </c>
      <c r="I22" s="5">
        <v>1000</v>
      </c>
      <c r="J22" s="5">
        <v>1E-4</v>
      </c>
      <c r="K22" s="5">
        <v>0.5</v>
      </c>
      <c r="L22" s="5" t="s">
        <v>28</v>
      </c>
      <c r="M22" s="5">
        <v>0.50508936387076098</v>
      </c>
      <c r="N22" s="5">
        <v>49.6220526471458</v>
      </c>
      <c r="O22" s="5">
        <v>10</v>
      </c>
      <c r="P22" s="5">
        <v>84.2620943049602</v>
      </c>
      <c r="Q22" s="5">
        <v>51.265722559044399</v>
      </c>
      <c r="R22" s="5">
        <v>67.300556586270801</v>
      </c>
      <c r="S22" s="5">
        <v>48.637051777713303</v>
      </c>
      <c r="T22" s="5">
        <v>3.1128404669260701</v>
      </c>
      <c r="U22" s="5">
        <v>50</v>
      </c>
      <c r="V22" s="5">
        <v>5.8608058608058604</v>
      </c>
      <c r="W22" s="5">
        <v>0.75212585034013602</v>
      </c>
      <c r="X22" s="5">
        <v>0.99676757132056903</v>
      </c>
      <c r="Y22" s="5">
        <v>2.49257015351784E-2</v>
      </c>
      <c r="Z22" s="5">
        <v>0.67300556586270799</v>
      </c>
      <c r="AA22" s="6">
        <v>0.5</v>
      </c>
    </row>
    <row r="23" spans="1:27" x14ac:dyDescent="0.25">
      <c r="A23" s="7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10" t="str">
        <f>TEXT(AVERAGE(P13:P22),"0.00")&amp;" ± "&amp;TEXT(_xlfn.STDEV.S(P13:P22),"0.00")</f>
        <v>85.30 ± 1.40</v>
      </c>
      <c r="Q23" s="10" t="str">
        <f t="shared" ref="Q23:AA23" si="1">TEXT(AVERAGE(Q13:Q22),"0.00")&amp;" ± "&amp;TEXT(_xlfn.STDEV.S(Q13:Q22),"0.00")</f>
        <v>50.95 ± 0.36</v>
      </c>
      <c r="R23" s="10" t="str">
        <f t="shared" si="1"/>
        <v>61.94 ± 4.20</v>
      </c>
      <c r="S23" s="10" t="str">
        <f t="shared" si="1"/>
        <v>48.45 ± 0.88</v>
      </c>
      <c r="T23" s="10" t="str">
        <f t="shared" si="1"/>
        <v>2.61 ± 0.63</v>
      </c>
      <c r="U23" s="10" t="str">
        <f t="shared" si="1"/>
        <v>38.13 ± 8.04</v>
      </c>
      <c r="V23" s="10" t="str">
        <f t="shared" si="1"/>
        <v>4.88 ± 1.16</v>
      </c>
      <c r="W23" s="11" t="str">
        <f t="shared" si="1"/>
        <v>0.73 ± 0.02</v>
      </c>
      <c r="X23" s="8" t="str">
        <f t="shared" si="1"/>
        <v>1.00 ± 0.00</v>
      </c>
      <c r="Y23" s="8" t="str">
        <f t="shared" si="1"/>
        <v>0.02 ± 0.00</v>
      </c>
      <c r="Z23" s="8" t="str">
        <f t="shared" si="1"/>
        <v>0.62 ± 0.04</v>
      </c>
      <c r="AA23" s="9" t="str">
        <f t="shared" si="1"/>
        <v>0.38 ± 0.08</v>
      </c>
    </row>
    <row r="24" spans="1:27" x14ac:dyDescent="0.25">
      <c r="A24" s="1" t="s">
        <v>30</v>
      </c>
      <c r="B24" s="2">
        <v>2025</v>
      </c>
      <c r="C24" s="2">
        <v>8</v>
      </c>
      <c r="D24" s="2">
        <v>16</v>
      </c>
      <c r="E24" s="2">
        <v>4</v>
      </c>
      <c r="F24" s="2">
        <v>2</v>
      </c>
      <c r="G24" s="2">
        <v>0.1</v>
      </c>
      <c r="H24" s="2">
        <v>128</v>
      </c>
      <c r="I24" s="2">
        <v>1000</v>
      </c>
      <c r="J24" s="2">
        <v>1E-4</v>
      </c>
      <c r="K24" s="2">
        <v>0.5</v>
      </c>
      <c r="L24" s="2" t="s">
        <v>28</v>
      </c>
      <c r="M24" s="2">
        <v>0.50508936387076098</v>
      </c>
      <c r="N24" s="2">
        <v>49.6220526471458</v>
      </c>
      <c r="O24" s="2">
        <v>10</v>
      </c>
      <c r="P24" s="2">
        <v>93.141457440293905</v>
      </c>
      <c r="Q24" s="2">
        <v>51.530663581023298</v>
      </c>
      <c r="R24" s="2">
        <v>59.407854050711101</v>
      </c>
      <c r="S24" s="2">
        <v>51.553295189658797</v>
      </c>
      <c r="T24" s="2">
        <v>3.84615384615384</v>
      </c>
      <c r="U24" s="2">
        <v>25</v>
      </c>
      <c r="V24" s="2">
        <v>6.6666666666666599</v>
      </c>
      <c r="W24" s="2">
        <v>0.65145717377860202</v>
      </c>
      <c r="X24" s="2">
        <v>0.99355029388266802</v>
      </c>
      <c r="Y24" s="2">
        <v>9.6585136824083206E-2</v>
      </c>
      <c r="Z24" s="2">
        <v>0.59407854050711195</v>
      </c>
      <c r="AA24" s="3">
        <v>0.25</v>
      </c>
    </row>
    <row r="25" spans="1:27" x14ac:dyDescent="0.25">
      <c r="A25" s="4" t="s">
        <v>30</v>
      </c>
      <c r="B25" s="5">
        <v>2025</v>
      </c>
      <c r="C25" s="5">
        <v>8</v>
      </c>
      <c r="D25" s="5">
        <v>16</v>
      </c>
      <c r="E25" s="5">
        <v>4</v>
      </c>
      <c r="F25" s="5">
        <v>2</v>
      </c>
      <c r="G25" s="5">
        <v>0.1</v>
      </c>
      <c r="H25" s="5">
        <v>128</v>
      </c>
      <c r="I25" s="5">
        <v>1000</v>
      </c>
      <c r="J25" s="5">
        <v>1E-4</v>
      </c>
      <c r="K25" s="5">
        <v>0.5</v>
      </c>
      <c r="L25" s="5" t="s">
        <v>28</v>
      </c>
      <c r="M25" s="5">
        <v>0.50508936387076098</v>
      </c>
      <c r="N25" s="5">
        <v>49.6220526471458</v>
      </c>
      <c r="O25" s="5">
        <v>10</v>
      </c>
      <c r="P25" s="5">
        <v>97.244335578689501</v>
      </c>
      <c r="Q25" s="5">
        <v>52.592803030303003</v>
      </c>
      <c r="R25" s="5">
        <v>55.291434755720402</v>
      </c>
      <c r="S25" s="5">
        <v>53.382223265432998</v>
      </c>
      <c r="T25" s="5">
        <v>6.0606060606060597</v>
      </c>
      <c r="U25" s="5">
        <v>12.5</v>
      </c>
      <c r="V25" s="5">
        <v>8.1632653061224492</v>
      </c>
      <c r="W25" s="5">
        <v>0.78067022263450803</v>
      </c>
      <c r="X25" s="5">
        <v>0.99688798397941303</v>
      </c>
      <c r="Y25" s="5">
        <v>7.4085758608125399E-2</v>
      </c>
      <c r="Z25" s="5">
        <v>0.55291434755720403</v>
      </c>
      <c r="AA25" s="6">
        <v>0.125</v>
      </c>
    </row>
    <row r="26" spans="1:27" x14ac:dyDescent="0.25">
      <c r="A26" s="4" t="s">
        <v>30</v>
      </c>
      <c r="B26" s="5">
        <v>2025</v>
      </c>
      <c r="C26" s="5">
        <v>8</v>
      </c>
      <c r="D26" s="5">
        <v>16</v>
      </c>
      <c r="E26" s="5">
        <v>4</v>
      </c>
      <c r="F26" s="5">
        <v>2</v>
      </c>
      <c r="G26" s="5">
        <v>0.1</v>
      </c>
      <c r="H26" s="5">
        <v>128</v>
      </c>
      <c r="I26" s="5">
        <v>1000</v>
      </c>
      <c r="J26" s="5">
        <v>1E-4</v>
      </c>
      <c r="K26" s="5">
        <v>0.5</v>
      </c>
      <c r="L26" s="5" t="s">
        <v>28</v>
      </c>
      <c r="M26" s="5">
        <v>0.50508936387076098</v>
      </c>
      <c r="N26" s="5">
        <v>49.6220526471458</v>
      </c>
      <c r="O26" s="5">
        <v>10</v>
      </c>
      <c r="P26" s="5">
        <v>95.774647887323894</v>
      </c>
      <c r="Q26" s="5">
        <v>53.617935496916303</v>
      </c>
      <c r="R26" s="5">
        <v>63.831555349412497</v>
      </c>
      <c r="S26" s="5">
        <v>55.246591175384097</v>
      </c>
      <c r="T26" s="5">
        <v>7.9365079365079296</v>
      </c>
      <c r="U26" s="5">
        <v>31.25</v>
      </c>
      <c r="V26" s="5">
        <v>12.6582278481012</v>
      </c>
      <c r="W26" s="5">
        <v>0.70325061842918901</v>
      </c>
      <c r="X26" s="5">
        <v>0.99379306201778705</v>
      </c>
      <c r="Y26" s="5">
        <v>6.4056194023967894E-2</v>
      </c>
      <c r="Z26" s="5">
        <v>0.63831555349412405</v>
      </c>
      <c r="AA26" s="6">
        <v>0.3125</v>
      </c>
    </row>
    <row r="27" spans="1:27" x14ac:dyDescent="0.25">
      <c r="A27" s="4" t="s">
        <v>30</v>
      </c>
      <c r="B27" s="5">
        <v>2025</v>
      </c>
      <c r="C27" s="5">
        <v>8</v>
      </c>
      <c r="D27" s="5">
        <v>16</v>
      </c>
      <c r="E27" s="5">
        <v>4</v>
      </c>
      <c r="F27" s="5">
        <v>2</v>
      </c>
      <c r="G27" s="5">
        <v>0.1</v>
      </c>
      <c r="H27" s="5">
        <v>128</v>
      </c>
      <c r="I27" s="5">
        <v>1000</v>
      </c>
      <c r="J27" s="5">
        <v>1E-4</v>
      </c>
      <c r="K27" s="5">
        <v>0.5</v>
      </c>
      <c r="L27" s="5" t="s">
        <v>28</v>
      </c>
      <c r="M27" s="5">
        <v>0.50508936387076098</v>
      </c>
      <c r="N27" s="5">
        <v>49.6220526471458</v>
      </c>
      <c r="O27" s="5">
        <v>10</v>
      </c>
      <c r="P27" s="5">
        <v>96.203306797305501</v>
      </c>
      <c r="Q27" s="5">
        <v>53.323716369948102</v>
      </c>
      <c r="R27" s="5">
        <v>60.953927025355597</v>
      </c>
      <c r="S27" s="5">
        <v>54.7443232612193</v>
      </c>
      <c r="T27" s="5">
        <v>7.4074074074074003</v>
      </c>
      <c r="U27" s="5">
        <v>25</v>
      </c>
      <c r="V27" s="5">
        <v>11.4285714285714</v>
      </c>
      <c r="W27" s="5">
        <v>0.783143939393939</v>
      </c>
      <c r="X27" s="5">
        <v>0.99598889766906495</v>
      </c>
      <c r="Y27" s="5">
        <v>0.123630200496608</v>
      </c>
      <c r="Z27" s="5">
        <v>0.60953927025355603</v>
      </c>
      <c r="AA27" s="6">
        <v>0.25</v>
      </c>
    </row>
    <row r="28" spans="1:27" x14ac:dyDescent="0.25">
      <c r="A28" s="4" t="s">
        <v>30</v>
      </c>
      <c r="B28" s="5">
        <v>2025</v>
      </c>
      <c r="C28" s="5">
        <v>8</v>
      </c>
      <c r="D28" s="5">
        <v>16</v>
      </c>
      <c r="E28" s="5">
        <v>4</v>
      </c>
      <c r="F28" s="5">
        <v>2</v>
      </c>
      <c r="G28" s="5">
        <v>0.1</v>
      </c>
      <c r="H28" s="5">
        <v>128</v>
      </c>
      <c r="I28" s="5">
        <v>1000</v>
      </c>
      <c r="J28" s="5">
        <v>1E-4</v>
      </c>
      <c r="K28" s="5">
        <v>0.5</v>
      </c>
      <c r="L28" s="5" t="s">
        <v>28</v>
      </c>
      <c r="M28" s="5">
        <v>0.50508936387076098</v>
      </c>
      <c r="N28" s="5">
        <v>49.6220526471458</v>
      </c>
      <c r="O28" s="5">
        <v>10</v>
      </c>
      <c r="P28" s="5">
        <v>0.97979179424372298</v>
      </c>
      <c r="Q28" s="5">
        <v>0.48989589712186099</v>
      </c>
      <c r="R28" s="5">
        <v>50</v>
      </c>
      <c r="S28" s="5">
        <v>0.97028502122498395</v>
      </c>
      <c r="T28" s="5">
        <v>0.97979179424372298</v>
      </c>
      <c r="U28" s="5">
        <v>100</v>
      </c>
      <c r="V28" s="5">
        <v>1.9405700424499599</v>
      </c>
      <c r="W28" s="5">
        <v>0.51242656153370403</v>
      </c>
      <c r="X28" s="5">
        <v>0.991587569354064</v>
      </c>
      <c r="Y28" s="5">
        <v>1.01588245824957E-2</v>
      </c>
      <c r="Z28" s="5">
        <v>0.5</v>
      </c>
      <c r="AA28" s="6">
        <v>1</v>
      </c>
    </row>
    <row r="29" spans="1:27" x14ac:dyDescent="0.25">
      <c r="A29" s="4" t="s">
        <v>30</v>
      </c>
      <c r="B29" s="5">
        <v>2025</v>
      </c>
      <c r="C29" s="5">
        <v>8</v>
      </c>
      <c r="D29" s="5">
        <v>16</v>
      </c>
      <c r="E29" s="5">
        <v>4</v>
      </c>
      <c r="F29" s="5">
        <v>2</v>
      </c>
      <c r="G29" s="5">
        <v>0.1</v>
      </c>
      <c r="H29" s="5">
        <v>128</v>
      </c>
      <c r="I29" s="5">
        <v>1000</v>
      </c>
      <c r="J29" s="5">
        <v>1E-4</v>
      </c>
      <c r="K29" s="5">
        <v>0.5</v>
      </c>
      <c r="L29" s="5" t="s">
        <v>28</v>
      </c>
      <c r="M29" s="5">
        <v>0.50508936387076098</v>
      </c>
      <c r="N29" s="5">
        <v>49.6220526471458</v>
      </c>
      <c r="O29" s="5">
        <v>10</v>
      </c>
      <c r="P29" s="5">
        <v>94.243723208818096</v>
      </c>
      <c r="Q29" s="5">
        <v>52.4849220358929</v>
      </c>
      <c r="R29" s="5">
        <v>63.058518862090203</v>
      </c>
      <c r="S29" s="5">
        <v>53.321291295674598</v>
      </c>
      <c r="T29" s="5">
        <v>5.6818181818181799</v>
      </c>
      <c r="U29" s="5">
        <v>31.25</v>
      </c>
      <c r="V29" s="5">
        <v>9.6153846153846096</v>
      </c>
      <c r="W29" s="5">
        <v>0.77282390228818798</v>
      </c>
      <c r="X29" s="5">
        <v>0.99654717795027503</v>
      </c>
      <c r="Y29" s="5">
        <v>6.2702395814543302E-2</v>
      </c>
      <c r="Z29" s="5">
        <v>0.63058518862090196</v>
      </c>
      <c r="AA29" s="6">
        <v>0.3125</v>
      </c>
    </row>
    <row r="30" spans="1:27" x14ac:dyDescent="0.25">
      <c r="A30" s="4" t="s">
        <v>30</v>
      </c>
      <c r="B30" s="5">
        <v>2025</v>
      </c>
      <c r="C30" s="5">
        <v>8</v>
      </c>
      <c r="D30" s="5">
        <v>16</v>
      </c>
      <c r="E30" s="5">
        <v>4</v>
      </c>
      <c r="F30" s="5">
        <v>2</v>
      </c>
      <c r="G30" s="5">
        <v>0.1</v>
      </c>
      <c r="H30" s="5">
        <v>128</v>
      </c>
      <c r="I30" s="5">
        <v>1000</v>
      </c>
      <c r="J30" s="5">
        <v>1E-4</v>
      </c>
      <c r="K30" s="5">
        <v>0.5</v>
      </c>
      <c r="L30" s="5" t="s">
        <v>28</v>
      </c>
      <c r="M30" s="5">
        <v>0.50508936387076098</v>
      </c>
      <c r="N30" s="5">
        <v>49.6220526471458</v>
      </c>
      <c r="O30" s="5">
        <v>10</v>
      </c>
      <c r="P30" s="5">
        <v>96.815676668707894</v>
      </c>
      <c r="Q30" s="5">
        <v>53.162880488461802</v>
      </c>
      <c r="R30" s="5">
        <v>58.169063079777303</v>
      </c>
      <c r="S30" s="5">
        <v>54.361939977642102</v>
      </c>
      <c r="T30" s="5">
        <v>7.1428571428571397</v>
      </c>
      <c r="U30" s="5">
        <v>18.75</v>
      </c>
      <c r="V30" s="5">
        <v>10.344827586206801</v>
      </c>
      <c r="W30" s="5">
        <v>0.738675015460729</v>
      </c>
      <c r="X30" s="5">
        <v>0.99599496842619994</v>
      </c>
      <c r="Y30" s="5">
        <v>8.1659976221937103E-2</v>
      </c>
      <c r="Z30" s="5">
        <v>0.58169063079777295</v>
      </c>
      <c r="AA30" s="6">
        <v>0.1875</v>
      </c>
    </row>
    <row r="31" spans="1:27" x14ac:dyDescent="0.25">
      <c r="A31" s="4" t="s">
        <v>30</v>
      </c>
      <c r="B31" s="5">
        <v>2025</v>
      </c>
      <c r="C31" s="5">
        <v>8</v>
      </c>
      <c r="D31" s="5">
        <v>16</v>
      </c>
      <c r="E31" s="5">
        <v>4</v>
      </c>
      <c r="F31" s="5">
        <v>2</v>
      </c>
      <c r="G31" s="5">
        <v>0.1</v>
      </c>
      <c r="H31" s="5">
        <v>128</v>
      </c>
      <c r="I31" s="5">
        <v>1000</v>
      </c>
      <c r="J31" s="5">
        <v>1E-4</v>
      </c>
      <c r="K31" s="5">
        <v>0.5</v>
      </c>
      <c r="L31" s="5" t="s">
        <v>28</v>
      </c>
      <c r="M31" s="5">
        <v>0.50508936387076098</v>
      </c>
      <c r="N31" s="5">
        <v>49.6220526471458</v>
      </c>
      <c r="O31" s="5">
        <v>10</v>
      </c>
      <c r="P31" s="5">
        <v>94.060012247397395</v>
      </c>
      <c r="Q31" s="5">
        <v>50.724274205806303</v>
      </c>
      <c r="R31" s="5">
        <v>53.683518862090203</v>
      </c>
      <c r="S31" s="5">
        <v>50.4478125537672</v>
      </c>
      <c r="T31" s="5">
        <v>2.3529411764705799</v>
      </c>
      <c r="U31" s="5">
        <v>12.5</v>
      </c>
      <c r="V31" s="5">
        <v>3.9603960396039599</v>
      </c>
      <c r="W31" s="5">
        <v>0.73757343846629497</v>
      </c>
      <c r="X31" s="5">
        <v>0.99643659904832904</v>
      </c>
      <c r="Y31" s="5">
        <v>4.9048665807643402E-2</v>
      </c>
      <c r="Z31" s="5">
        <v>0.53683518862090196</v>
      </c>
      <c r="AA31" s="6">
        <v>0.125</v>
      </c>
    </row>
    <row r="32" spans="1:27" x14ac:dyDescent="0.25">
      <c r="A32" s="4" t="s">
        <v>30</v>
      </c>
      <c r="B32" s="5">
        <v>2025</v>
      </c>
      <c r="C32" s="5">
        <v>8</v>
      </c>
      <c r="D32" s="5">
        <v>16</v>
      </c>
      <c r="E32" s="5">
        <v>4</v>
      </c>
      <c r="F32" s="5">
        <v>2</v>
      </c>
      <c r="G32" s="5">
        <v>0.1</v>
      </c>
      <c r="H32" s="5">
        <v>128</v>
      </c>
      <c r="I32" s="5">
        <v>1000</v>
      </c>
      <c r="J32" s="5">
        <v>1E-4</v>
      </c>
      <c r="K32" s="5">
        <v>0.5</v>
      </c>
      <c r="L32" s="5" t="s">
        <v>28</v>
      </c>
      <c r="M32" s="5">
        <v>0.50508936387076098</v>
      </c>
      <c r="N32" s="5">
        <v>49.6220526471458</v>
      </c>
      <c r="O32" s="5">
        <v>10</v>
      </c>
      <c r="P32" s="5">
        <v>90.569503980404093</v>
      </c>
      <c r="Q32" s="5">
        <v>50.605132079695501</v>
      </c>
      <c r="R32" s="5">
        <v>55.0150742115027</v>
      </c>
      <c r="S32" s="5">
        <v>49.395927237604603</v>
      </c>
      <c r="T32" s="5">
        <v>2.0833333333333299</v>
      </c>
      <c r="U32" s="5">
        <v>18.75</v>
      </c>
      <c r="V32" s="5">
        <v>3.75</v>
      </c>
      <c r="W32" s="5">
        <v>0.71411178107606599</v>
      </c>
      <c r="X32" s="5">
        <v>0.99601589452944805</v>
      </c>
      <c r="Y32" s="5">
        <v>3.8572934750450198E-2</v>
      </c>
      <c r="Z32" s="5">
        <v>0.55015074211502701</v>
      </c>
      <c r="AA32" s="6">
        <v>0.1875</v>
      </c>
    </row>
    <row r="33" spans="1:27" x14ac:dyDescent="0.25">
      <c r="A33" s="4" t="s">
        <v>30</v>
      </c>
      <c r="B33" s="5">
        <v>2025</v>
      </c>
      <c r="C33" s="5">
        <v>8</v>
      </c>
      <c r="D33" s="5">
        <v>16</v>
      </c>
      <c r="E33" s="5">
        <v>4</v>
      </c>
      <c r="F33" s="5">
        <v>2</v>
      </c>
      <c r="G33" s="5">
        <v>0.1</v>
      </c>
      <c r="H33" s="5">
        <v>128</v>
      </c>
      <c r="I33" s="5">
        <v>1000</v>
      </c>
      <c r="J33" s="5">
        <v>1E-4</v>
      </c>
      <c r="K33" s="5">
        <v>0.5</v>
      </c>
      <c r="L33" s="5" t="s">
        <v>28</v>
      </c>
      <c r="M33" s="5">
        <v>0.50508936387076098</v>
      </c>
      <c r="N33" s="5">
        <v>49.6220526471458</v>
      </c>
      <c r="O33" s="5">
        <v>10</v>
      </c>
      <c r="P33" s="5">
        <v>96.570728720146903</v>
      </c>
      <c r="Q33" s="5">
        <v>55.452975234758902</v>
      </c>
      <c r="R33" s="5">
        <v>67.327612863327104</v>
      </c>
      <c r="S33" s="5">
        <v>57.947982194753997</v>
      </c>
      <c r="T33" s="5">
        <v>11.538461538461499</v>
      </c>
      <c r="U33" s="5">
        <v>37.5</v>
      </c>
      <c r="V33" s="5">
        <v>17.647058823529399</v>
      </c>
      <c r="W33" s="5">
        <v>0.83408704390847199</v>
      </c>
      <c r="X33" s="5">
        <v>0.99716854524354703</v>
      </c>
      <c r="Y33" s="5">
        <v>0.156768117018218</v>
      </c>
      <c r="Z33" s="5">
        <v>0.67327612863327102</v>
      </c>
      <c r="AA33" s="6">
        <v>0.375</v>
      </c>
    </row>
    <row r="34" spans="1:27" x14ac:dyDescent="0.25">
      <c r="A34" s="7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10" t="str">
        <f>TEXT(AVERAGE(P24:P33),"0.00")&amp;" ± "&amp;TEXT(_xlfn.STDEV.S(P24:P33),"0.00")</f>
        <v>85.56 ± 29.79</v>
      </c>
      <c r="Q34" s="10" t="str">
        <f t="shared" ref="Q34:AA34" si="2">TEXT(AVERAGE(Q24:Q33),"0.00")&amp;" ± "&amp;TEXT(_xlfn.STDEV.S(Q24:Q33),"0.00")</f>
        <v>47.40 ± 16.54</v>
      </c>
      <c r="R34" s="10" t="str">
        <f t="shared" si="2"/>
        <v>58.67 ± 5.29</v>
      </c>
      <c r="S34" s="10" t="str">
        <f t="shared" si="2"/>
        <v>48.14 ± 16.76</v>
      </c>
      <c r="T34" s="10" t="str">
        <f t="shared" si="2"/>
        <v>5.50 ± 3.23</v>
      </c>
      <c r="U34" s="10" t="str">
        <f t="shared" si="2"/>
        <v>31.25 ± 25.52</v>
      </c>
      <c r="V34" s="10" t="str">
        <f t="shared" si="2"/>
        <v>8.62 ± 4.76</v>
      </c>
      <c r="W34" s="11" t="str">
        <f t="shared" si="2"/>
        <v>0.72 ± 0.09</v>
      </c>
      <c r="X34" s="8" t="str">
        <f t="shared" si="2"/>
        <v>1.00 ± 0.00</v>
      </c>
      <c r="Y34" s="8" t="str">
        <f t="shared" si="2"/>
        <v>0.08 ± 0.04</v>
      </c>
      <c r="Z34" s="8" t="str">
        <f t="shared" si="2"/>
        <v>0.59 ± 0.05</v>
      </c>
      <c r="AA34" s="9" t="str">
        <f t="shared" si="2"/>
        <v>0.31 ± 0.26</v>
      </c>
    </row>
    <row r="35" spans="1:27" x14ac:dyDescent="0.25">
      <c r="A35" s="1" t="s">
        <v>27</v>
      </c>
      <c r="B35" s="2">
        <v>2025</v>
      </c>
      <c r="C35" s="2">
        <v>16</v>
      </c>
      <c r="D35" s="2">
        <v>16</v>
      </c>
      <c r="E35" s="2">
        <v>4</v>
      </c>
      <c r="F35" s="2">
        <v>2</v>
      </c>
      <c r="G35" s="2">
        <v>0.1</v>
      </c>
      <c r="H35" s="2">
        <v>128</v>
      </c>
      <c r="I35" s="2">
        <v>1000</v>
      </c>
      <c r="J35" s="2">
        <v>1E-4</v>
      </c>
      <c r="K35" s="2">
        <v>0.5</v>
      </c>
      <c r="L35" s="2" t="s">
        <v>28</v>
      </c>
      <c r="M35" s="2">
        <v>0.50508936387076098</v>
      </c>
      <c r="N35" s="2">
        <v>49.6220526471458</v>
      </c>
      <c r="O35" s="2">
        <v>10</v>
      </c>
      <c r="P35" s="2">
        <v>97.611757501530903</v>
      </c>
      <c r="Q35" s="2">
        <v>56.077081068019801</v>
      </c>
      <c r="R35" s="2">
        <v>61.665120593692002</v>
      </c>
      <c r="S35" s="2">
        <v>57.904860105887202</v>
      </c>
      <c r="T35" s="2">
        <v>12.9032258064516</v>
      </c>
      <c r="U35" s="2">
        <v>25</v>
      </c>
      <c r="V35" s="2">
        <v>17.021276595744599</v>
      </c>
      <c r="W35" s="2">
        <v>0.76905534941249198</v>
      </c>
      <c r="X35" s="2">
        <v>0.99663916752954895</v>
      </c>
      <c r="Y35" s="2">
        <v>8.8387519341762102E-2</v>
      </c>
      <c r="Z35" s="2">
        <v>0.61665120593692002</v>
      </c>
      <c r="AA35" s="3">
        <v>0.25</v>
      </c>
    </row>
    <row r="36" spans="1:27" x14ac:dyDescent="0.25">
      <c r="A36" s="4" t="s">
        <v>27</v>
      </c>
      <c r="B36" s="5">
        <v>2025</v>
      </c>
      <c r="C36" s="5">
        <v>16</v>
      </c>
      <c r="D36" s="5">
        <v>16</v>
      </c>
      <c r="E36" s="5">
        <v>4</v>
      </c>
      <c r="F36" s="5">
        <v>2</v>
      </c>
      <c r="G36" s="5">
        <v>0.1</v>
      </c>
      <c r="H36" s="5">
        <v>128</v>
      </c>
      <c r="I36" s="5">
        <v>1000</v>
      </c>
      <c r="J36" s="5">
        <v>1E-4</v>
      </c>
      <c r="K36" s="5">
        <v>0.5</v>
      </c>
      <c r="L36" s="5" t="s">
        <v>28</v>
      </c>
      <c r="M36" s="5">
        <v>0.50508936387076098</v>
      </c>
      <c r="N36" s="5">
        <v>49.6220526471458</v>
      </c>
      <c r="O36" s="5">
        <v>10</v>
      </c>
      <c r="P36" s="5">
        <v>95.529699938763002</v>
      </c>
      <c r="Q36" s="5">
        <v>52.6942700156985</v>
      </c>
      <c r="R36" s="5">
        <v>60.613790970933799</v>
      </c>
      <c r="S36" s="5">
        <v>53.7922747446557</v>
      </c>
      <c r="T36" s="5">
        <v>6.1538461538461497</v>
      </c>
      <c r="U36" s="5">
        <v>25</v>
      </c>
      <c r="V36" s="5">
        <v>9.8765432098765409</v>
      </c>
      <c r="W36" s="5">
        <v>0.80681818181818099</v>
      </c>
      <c r="X36" s="5">
        <v>0.997395119678402</v>
      </c>
      <c r="Y36" s="5">
        <v>8.4507152337562105E-2</v>
      </c>
      <c r="Z36" s="5">
        <v>0.60613790970933801</v>
      </c>
      <c r="AA36" s="6">
        <v>0.25</v>
      </c>
    </row>
    <row r="37" spans="1:27" x14ac:dyDescent="0.25">
      <c r="A37" s="4" t="s">
        <v>27</v>
      </c>
      <c r="B37" s="5">
        <v>2025</v>
      </c>
      <c r="C37" s="5">
        <v>16</v>
      </c>
      <c r="D37" s="5">
        <v>16</v>
      </c>
      <c r="E37" s="5">
        <v>4</v>
      </c>
      <c r="F37" s="5">
        <v>2</v>
      </c>
      <c r="G37" s="5">
        <v>0.1</v>
      </c>
      <c r="H37" s="5">
        <v>128</v>
      </c>
      <c r="I37" s="5">
        <v>1000</v>
      </c>
      <c r="J37" s="5">
        <v>1E-4</v>
      </c>
      <c r="K37" s="5">
        <v>0.5</v>
      </c>
      <c r="L37" s="5" t="s">
        <v>28</v>
      </c>
      <c r="M37" s="5">
        <v>0.50508936387076098</v>
      </c>
      <c r="N37" s="5">
        <v>49.6220526471458</v>
      </c>
      <c r="O37" s="5">
        <v>10</v>
      </c>
      <c r="P37" s="5">
        <v>97.0606246172688</v>
      </c>
      <c r="Q37" s="5">
        <v>53.539844910080802</v>
      </c>
      <c r="R37" s="5">
        <v>58.292748917748902</v>
      </c>
      <c r="S37" s="5">
        <v>54.808357548083499</v>
      </c>
      <c r="T37" s="5">
        <v>7.8947368421052602</v>
      </c>
      <c r="U37" s="5">
        <v>18.75</v>
      </c>
      <c r="V37" s="5">
        <v>11.1111111111111</v>
      </c>
      <c r="W37" s="5">
        <v>0.83402906617192296</v>
      </c>
      <c r="X37" s="5">
        <v>0.99805098199632503</v>
      </c>
      <c r="Y37" s="5">
        <v>9.2592767534151896E-2</v>
      </c>
      <c r="Z37" s="5">
        <v>0.58292748917748904</v>
      </c>
      <c r="AA37" s="6">
        <v>0.1875</v>
      </c>
    </row>
    <row r="38" spans="1:27" x14ac:dyDescent="0.25">
      <c r="A38" s="4" t="s">
        <v>27</v>
      </c>
      <c r="B38" s="5">
        <v>2025</v>
      </c>
      <c r="C38" s="5">
        <v>16</v>
      </c>
      <c r="D38" s="5">
        <v>16</v>
      </c>
      <c r="E38" s="5">
        <v>4</v>
      </c>
      <c r="F38" s="5">
        <v>2</v>
      </c>
      <c r="G38" s="5">
        <v>0.1</v>
      </c>
      <c r="H38" s="5">
        <v>128</v>
      </c>
      <c r="I38" s="5">
        <v>1000</v>
      </c>
      <c r="J38" s="5">
        <v>1E-4</v>
      </c>
      <c r="K38" s="5">
        <v>0.5</v>
      </c>
      <c r="L38" s="5" t="s">
        <v>28</v>
      </c>
      <c r="M38" s="5">
        <v>0.50508936387076098</v>
      </c>
      <c r="N38" s="5">
        <v>49.6220526471458</v>
      </c>
      <c r="O38" s="5">
        <v>10</v>
      </c>
      <c r="P38" s="5">
        <v>96.570728720146903</v>
      </c>
      <c r="Q38" s="5">
        <v>54.652558433354301</v>
      </c>
      <c r="R38" s="5">
        <v>64.233534322820006</v>
      </c>
      <c r="S38" s="5">
        <v>56.7007575757575</v>
      </c>
      <c r="T38" s="5">
        <v>10</v>
      </c>
      <c r="U38" s="5">
        <v>31.25</v>
      </c>
      <c r="V38" s="5">
        <v>15.151515151515101</v>
      </c>
      <c r="W38" s="5">
        <v>0.75166202844774199</v>
      </c>
      <c r="X38" s="5">
        <v>0.99656588648843103</v>
      </c>
      <c r="Y38" s="5">
        <v>9.7753033463150299E-2</v>
      </c>
      <c r="Z38" s="5">
        <v>0.64233534322819996</v>
      </c>
      <c r="AA38" s="6">
        <v>0.3125</v>
      </c>
    </row>
    <row r="39" spans="1:27" x14ac:dyDescent="0.25">
      <c r="A39" s="4" t="s">
        <v>27</v>
      </c>
      <c r="B39" s="5">
        <v>2025</v>
      </c>
      <c r="C39" s="5">
        <v>16</v>
      </c>
      <c r="D39" s="5">
        <v>16</v>
      </c>
      <c r="E39" s="5">
        <v>4</v>
      </c>
      <c r="F39" s="5">
        <v>2</v>
      </c>
      <c r="G39" s="5">
        <v>0.1</v>
      </c>
      <c r="H39" s="5">
        <v>128</v>
      </c>
      <c r="I39" s="5">
        <v>1000</v>
      </c>
      <c r="J39" s="5">
        <v>1E-4</v>
      </c>
      <c r="K39" s="5">
        <v>0.5</v>
      </c>
      <c r="L39" s="5" t="s">
        <v>28</v>
      </c>
      <c r="M39" s="5">
        <v>0.50508936387076098</v>
      </c>
      <c r="N39" s="5">
        <v>49.6220526471458</v>
      </c>
      <c r="O39" s="5">
        <v>10</v>
      </c>
      <c r="P39" s="5">
        <v>90.936925903245495</v>
      </c>
      <c r="Q39" s="5">
        <v>50.652173913043399</v>
      </c>
      <c r="R39" s="5">
        <v>55.200602968460103</v>
      </c>
      <c r="S39" s="5">
        <v>49.570159917203597</v>
      </c>
      <c r="T39" s="5">
        <v>2.1739130434782599</v>
      </c>
      <c r="U39" s="5">
        <v>18.75</v>
      </c>
      <c r="V39" s="5">
        <v>3.8961038961038899</v>
      </c>
      <c r="W39" s="5">
        <v>0.68800247371675904</v>
      </c>
      <c r="X39" s="5">
        <v>0.99493706218267397</v>
      </c>
      <c r="Y39" s="5">
        <v>2.0583367838433401E-2</v>
      </c>
      <c r="Z39" s="5">
        <v>0.552006029684601</v>
      </c>
      <c r="AA39" s="6">
        <v>0.1875</v>
      </c>
    </row>
    <row r="40" spans="1:27" x14ac:dyDescent="0.25">
      <c r="A40" s="4" t="s">
        <v>27</v>
      </c>
      <c r="B40" s="5">
        <v>2025</v>
      </c>
      <c r="C40" s="5">
        <v>16</v>
      </c>
      <c r="D40" s="5">
        <v>16</v>
      </c>
      <c r="E40" s="5">
        <v>4</v>
      </c>
      <c r="F40" s="5">
        <v>2</v>
      </c>
      <c r="G40" s="5">
        <v>0.1</v>
      </c>
      <c r="H40" s="5">
        <v>128</v>
      </c>
      <c r="I40" s="5">
        <v>1000</v>
      </c>
      <c r="J40" s="5">
        <v>1E-4</v>
      </c>
      <c r="K40" s="5">
        <v>0.5</v>
      </c>
      <c r="L40" s="5" t="s">
        <v>28</v>
      </c>
      <c r="M40" s="5">
        <v>0.50508936387076098</v>
      </c>
      <c r="N40" s="5">
        <v>49.6220526471458</v>
      </c>
      <c r="O40" s="5">
        <v>10</v>
      </c>
      <c r="P40" s="5">
        <v>97.672994488671094</v>
      </c>
      <c r="Q40" s="5">
        <v>54.952158433466799</v>
      </c>
      <c r="R40" s="5">
        <v>58.601963512677699</v>
      </c>
      <c r="S40" s="5">
        <v>56.228485977089299</v>
      </c>
      <c r="T40" s="5">
        <v>10.714285714285699</v>
      </c>
      <c r="U40" s="5">
        <v>18.75</v>
      </c>
      <c r="V40" s="5">
        <v>13.636363636363599</v>
      </c>
      <c r="W40" s="5">
        <v>0.78038033395176198</v>
      </c>
      <c r="X40" s="5">
        <v>0.99689422517992599</v>
      </c>
      <c r="Y40" s="5">
        <v>5.9577556446539899E-2</v>
      </c>
      <c r="Z40" s="5">
        <v>0.58601963512677702</v>
      </c>
      <c r="AA40" s="6">
        <v>0.1875</v>
      </c>
    </row>
    <row r="41" spans="1:27" x14ac:dyDescent="0.25">
      <c r="A41" s="4" t="s">
        <v>27</v>
      </c>
      <c r="B41" s="5">
        <v>2025</v>
      </c>
      <c r="C41" s="5">
        <v>16</v>
      </c>
      <c r="D41" s="5">
        <v>16</v>
      </c>
      <c r="E41" s="5">
        <v>4</v>
      </c>
      <c r="F41" s="5">
        <v>2</v>
      </c>
      <c r="G41" s="5">
        <v>0.1</v>
      </c>
      <c r="H41" s="5">
        <v>128</v>
      </c>
      <c r="I41" s="5">
        <v>1000</v>
      </c>
      <c r="J41" s="5">
        <v>1E-4</v>
      </c>
      <c r="K41" s="5">
        <v>0.5</v>
      </c>
      <c r="L41" s="5" t="s">
        <v>28</v>
      </c>
      <c r="M41" s="5">
        <v>0.50508936387076098</v>
      </c>
      <c r="N41" s="5">
        <v>49.6220526471458</v>
      </c>
      <c r="O41" s="5">
        <v>10</v>
      </c>
      <c r="P41" s="5">
        <v>89.895897121861594</v>
      </c>
      <c r="Q41" s="5">
        <v>50.867381285277801</v>
      </c>
      <c r="R41" s="5">
        <v>57.7690166975881</v>
      </c>
      <c r="S41" s="5">
        <v>49.644825440253797</v>
      </c>
      <c r="T41" s="5">
        <v>2.5477707006369399</v>
      </c>
      <c r="U41" s="5">
        <v>25</v>
      </c>
      <c r="V41" s="5">
        <v>4.6242774566473903</v>
      </c>
      <c r="W41" s="5">
        <v>0.70883580705009197</v>
      </c>
      <c r="X41" s="5">
        <v>0.99583457145947496</v>
      </c>
      <c r="Y41" s="5">
        <v>2.4018553884621301E-2</v>
      </c>
      <c r="Z41" s="5">
        <v>0.57769016697588105</v>
      </c>
      <c r="AA41" s="6">
        <v>0.25</v>
      </c>
    </row>
    <row r="42" spans="1:27" x14ac:dyDescent="0.25">
      <c r="A42" s="4" t="s">
        <v>27</v>
      </c>
      <c r="B42" s="5">
        <v>2025</v>
      </c>
      <c r="C42" s="5">
        <v>16</v>
      </c>
      <c r="D42" s="5">
        <v>16</v>
      </c>
      <c r="E42" s="5">
        <v>4</v>
      </c>
      <c r="F42" s="5">
        <v>2</v>
      </c>
      <c r="G42" s="5">
        <v>0.1</v>
      </c>
      <c r="H42" s="5">
        <v>128</v>
      </c>
      <c r="I42" s="5">
        <v>1000</v>
      </c>
      <c r="J42" s="5">
        <v>1E-4</v>
      </c>
      <c r="K42" s="5">
        <v>0.5</v>
      </c>
      <c r="L42" s="5" t="s">
        <v>28</v>
      </c>
      <c r="M42" s="5">
        <v>0.50508936387076098</v>
      </c>
      <c r="N42" s="5">
        <v>49.6220526471458</v>
      </c>
      <c r="O42" s="5">
        <v>10</v>
      </c>
      <c r="P42" s="5">
        <v>86.650336803429198</v>
      </c>
      <c r="Q42" s="5">
        <v>50.792193910745802</v>
      </c>
      <c r="R42" s="5">
        <v>59.224257884972097</v>
      </c>
      <c r="S42" s="5">
        <v>48.60509568853</v>
      </c>
      <c r="T42" s="5">
        <v>2.3584905660377302</v>
      </c>
      <c r="U42" s="5">
        <v>31.25</v>
      </c>
      <c r="V42" s="5">
        <v>4.3859649122807003</v>
      </c>
      <c r="W42" s="5">
        <v>0.64320500927643698</v>
      </c>
      <c r="X42" s="5">
        <v>0.99370077641221399</v>
      </c>
      <c r="Y42" s="5">
        <v>1.9564815607505899E-2</v>
      </c>
      <c r="Z42" s="5">
        <v>0.59224257884972098</v>
      </c>
      <c r="AA42" s="6">
        <v>0.3125</v>
      </c>
    </row>
    <row r="43" spans="1:27" x14ac:dyDescent="0.25">
      <c r="A43" s="4" t="s">
        <v>27</v>
      </c>
      <c r="B43" s="5">
        <v>2025</v>
      </c>
      <c r="C43" s="5">
        <v>16</v>
      </c>
      <c r="D43" s="5">
        <v>16</v>
      </c>
      <c r="E43" s="5">
        <v>4</v>
      </c>
      <c r="F43" s="5">
        <v>2</v>
      </c>
      <c r="G43" s="5">
        <v>0.1</v>
      </c>
      <c r="H43" s="5">
        <v>128</v>
      </c>
      <c r="I43" s="5">
        <v>1000</v>
      </c>
      <c r="J43" s="5">
        <v>1E-4</v>
      </c>
      <c r="K43" s="5">
        <v>0.5</v>
      </c>
      <c r="L43" s="5" t="s">
        <v>28</v>
      </c>
      <c r="M43" s="5">
        <v>0.50508936387076098</v>
      </c>
      <c r="N43" s="5">
        <v>49.6220526471458</v>
      </c>
      <c r="O43" s="5">
        <v>10</v>
      </c>
      <c r="P43" s="5">
        <v>94.549908144519193</v>
      </c>
      <c r="Q43" s="5">
        <v>52.657209483093602</v>
      </c>
      <c r="R43" s="5">
        <v>63.213126159554697</v>
      </c>
      <c r="S43" s="5">
        <v>53.645389799478799</v>
      </c>
      <c r="T43" s="5">
        <v>6.0240963855421601</v>
      </c>
      <c r="U43" s="5">
        <v>31.25</v>
      </c>
      <c r="V43" s="5">
        <v>10.1010101010101</v>
      </c>
      <c r="W43" s="5">
        <v>0.79429499072356202</v>
      </c>
      <c r="X43" s="5">
        <v>0.99719467813491203</v>
      </c>
      <c r="Y43" s="5">
        <v>5.1341139475309203E-2</v>
      </c>
      <c r="Z43" s="5">
        <v>0.632131261595547</v>
      </c>
      <c r="AA43" s="6">
        <v>0.3125</v>
      </c>
    </row>
    <row r="44" spans="1:27" x14ac:dyDescent="0.25">
      <c r="A44" s="4" t="s">
        <v>27</v>
      </c>
      <c r="B44" s="5">
        <v>2025</v>
      </c>
      <c r="C44" s="5">
        <v>16</v>
      </c>
      <c r="D44" s="5">
        <v>16</v>
      </c>
      <c r="E44" s="5">
        <v>4</v>
      </c>
      <c r="F44" s="5">
        <v>2</v>
      </c>
      <c r="G44" s="5">
        <v>0.1</v>
      </c>
      <c r="H44" s="5">
        <v>128</v>
      </c>
      <c r="I44" s="5">
        <v>1000</v>
      </c>
      <c r="J44" s="5">
        <v>1E-4</v>
      </c>
      <c r="K44" s="5">
        <v>0.5</v>
      </c>
      <c r="L44" s="5" t="s">
        <v>28</v>
      </c>
      <c r="M44" s="5">
        <v>0.50508936387076098</v>
      </c>
      <c r="N44" s="5">
        <v>49.6220526471458</v>
      </c>
      <c r="O44" s="5">
        <v>10</v>
      </c>
      <c r="P44" s="5">
        <v>93.018983466013395</v>
      </c>
      <c r="Q44" s="5">
        <v>52.8291420118343</v>
      </c>
      <c r="R44" s="5">
        <v>68.6282467532467</v>
      </c>
      <c r="S44" s="5">
        <v>53.652306405353698</v>
      </c>
      <c r="T44" s="5">
        <v>6.25</v>
      </c>
      <c r="U44" s="5">
        <v>43.75</v>
      </c>
      <c r="V44" s="5">
        <v>10.9375</v>
      </c>
      <c r="W44" s="5">
        <v>0.86734693877550995</v>
      </c>
      <c r="X44" s="5">
        <v>0.99842596007219298</v>
      </c>
      <c r="Y44" s="5">
        <v>0.19980521980864599</v>
      </c>
      <c r="Z44" s="5">
        <v>0.68628246753246702</v>
      </c>
      <c r="AA44" s="6">
        <v>0.4375</v>
      </c>
    </row>
    <row r="45" spans="1:27" x14ac:dyDescent="0.25">
      <c r="A45" s="7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10" t="str">
        <f>TEXT(AVERAGE(P35:P44),"0.00")&amp;" ± "&amp;TEXT(_xlfn.STDEV.S(P35:P44),"0.00")</f>
        <v>93.95 ± 3.75</v>
      </c>
      <c r="Q45" s="10" t="str">
        <f t="shared" ref="Q45:AA45" si="3">TEXT(AVERAGE(Q35:Q44),"0.00")&amp;" ± "&amp;TEXT(_xlfn.STDEV.S(Q35:Q44),"0.00")</f>
        <v>52.97 ± 1.87</v>
      </c>
      <c r="R45" s="10" t="str">
        <f t="shared" si="3"/>
        <v>60.74 ± 3.86</v>
      </c>
      <c r="S45" s="10" t="str">
        <f t="shared" si="3"/>
        <v>53.46 ± 3.22</v>
      </c>
      <c r="T45" s="10" t="str">
        <f t="shared" si="3"/>
        <v>6.70 ± 3.72</v>
      </c>
      <c r="U45" s="10" t="str">
        <f t="shared" si="3"/>
        <v>26.88 ± 7.82</v>
      </c>
      <c r="V45" s="10" t="str">
        <f t="shared" si="3"/>
        <v>10.07 ± 4.58</v>
      </c>
      <c r="W45" s="11" t="str">
        <f t="shared" si="3"/>
        <v>0.76 ± 0.07</v>
      </c>
      <c r="X45" s="8" t="str">
        <f t="shared" si="3"/>
        <v>1.00 ± 0.00</v>
      </c>
      <c r="Y45" s="8" t="str">
        <f t="shared" si="3"/>
        <v>0.07 ± 0.05</v>
      </c>
      <c r="Z45" s="8" t="str">
        <f t="shared" si="3"/>
        <v>0.61 ± 0.04</v>
      </c>
      <c r="AA45" s="9" t="str">
        <f t="shared" si="3"/>
        <v>0.27 ± 0.08</v>
      </c>
    </row>
    <row r="46" spans="1:27" x14ac:dyDescent="0.25">
      <c r="A46" s="1" t="s">
        <v>27</v>
      </c>
      <c r="B46" s="2">
        <v>2025</v>
      </c>
      <c r="C46" s="2">
        <v>32</v>
      </c>
      <c r="D46" s="2">
        <v>16</v>
      </c>
      <c r="E46" s="2">
        <v>4</v>
      </c>
      <c r="F46" s="2">
        <v>2</v>
      </c>
      <c r="G46" s="2">
        <v>0.1</v>
      </c>
      <c r="H46" s="2">
        <v>128</v>
      </c>
      <c r="I46" s="2">
        <v>1000</v>
      </c>
      <c r="J46" s="2">
        <v>1E-4</v>
      </c>
      <c r="K46" s="2">
        <v>0.5</v>
      </c>
      <c r="L46" s="2" t="s">
        <v>28</v>
      </c>
      <c r="M46" s="2">
        <v>0.50508936387076098</v>
      </c>
      <c r="N46" s="2">
        <v>49.6220526471458</v>
      </c>
      <c r="O46" s="2">
        <v>10</v>
      </c>
      <c r="P46" s="2">
        <v>94.488671157379002</v>
      </c>
      <c r="Q46" s="2">
        <v>53.165165887464099</v>
      </c>
      <c r="R46" s="2">
        <v>66.276283240568901</v>
      </c>
      <c r="S46" s="2">
        <v>54.460102625120797</v>
      </c>
      <c r="T46" s="2">
        <v>6.9767441860465098</v>
      </c>
      <c r="U46" s="2">
        <v>37.5</v>
      </c>
      <c r="V46" s="2">
        <v>11.764705882352899</v>
      </c>
      <c r="W46" s="2">
        <v>0.77925943104514495</v>
      </c>
      <c r="X46" s="2">
        <v>0.99711746648148103</v>
      </c>
      <c r="Y46" s="2">
        <v>8.0071858739364593E-2</v>
      </c>
      <c r="Z46" s="2">
        <v>0.66276283240568901</v>
      </c>
      <c r="AA46" s="3">
        <v>0.375</v>
      </c>
    </row>
    <row r="47" spans="1:27" x14ac:dyDescent="0.25">
      <c r="A47" s="4" t="s">
        <v>27</v>
      </c>
      <c r="B47" s="5">
        <v>2025</v>
      </c>
      <c r="C47" s="5">
        <v>32</v>
      </c>
      <c r="D47" s="5">
        <v>16</v>
      </c>
      <c r="E47" s="5">
        <v>4</v>
      </c>
      <c r="F47" s="5">
        <v>2</v>
      </c>
      <c r="G47" s="5">
        <v>0.1</v>
      </c>
      <c r="H47" s="5">
        <v>128</v>
      </c>
      <c r="I47" s="5">
        <v>1000</v>
      </c>
      <c r="J47" s="5">
        <v>1E-4</v>
      </c>
      <c r="K47" s="5">
        <v>0.5</v>
      </c>
      <c r="L47" s="5" t="s">
        <v>28</v>
      </c>
      <c r="M47" s="5">
        <v>0.50508936387076098</v>
      </c>
      <c r="N47" s="5">
        <v>49.6220526471458</v>
      </c>
      <c r="O47" s="5">
        <v>10</v>
      </c>
      <c r="P47" s="5">
        <v>93.202694427434096</v>
      </c>
      <c r="Q47" s="5">
        <v>51.549590710070397</v>
      </c>
      <c r="R47" s="5">
        <v>59.438775510204003</v>
      </c>
      <c r="S47" s="5">
        <v>51.597760171752199</v>
      </c>
      <c r="T47" s="5">
        <v>3.88349514563106</v>
      </c>
      <c r="U47" s="5">
        <v>25</v>
      </c>
      <c r="V47" s="5">
        <v>6.7226890756302504</v>
      </c>
      <c r="W47" s="5">
        <v>0.82220160791589303</v>
      </c>
      <c r="X47" s="5">
        <v>0.99782917614630195</v>
      </c>
      <c r="Y47" s="5">
        <v>8.2817646523262095E-2</v>
      </c>
      <c r="Z47" s="5">
        <v>0.59438775510204001</v>
      </c>
      <c r="AA47" s="6">
        <v>0.25</v>
      </c>
    </row>
    <row r="48" spans="1:27" x14ac:dyDescent="0.25">
      <c r="A48" s="4" t="s">
        <v>27</v>
      </c>
      <c r="B48" s="5">
        <v>2025</v>
      </c>
      <c r="C48" s="5">
        <v>32</v>
      </c>
      <c r="D48" s="5">
        <v>16</v>
      </c>
      <c r="E48" s="5">
        <v>4</v>
      </c>
      <c r="F48" s="5">
        <v>2</v>
      </c>
      <c r="G48" s="5">
        <v>0.1</v>
      </c>
      <c r="H48" s="5">
        <v>128</v>
      </c>
      <c r="I48" s="5">
        <v>1000</v>
      </c>
      <c r="J48" s="5">
        <v>1E-4</v>
      </c>
      <c r="K48" s="5">
        <v>0.5</v>
      </c>
      <c r="L48" s="5" t="s">
        <v>28</v>
      </c>
      <c r="M48" s="5">
        <v>0.50508936387076098</v>
      </c>
      <c r="N48" s="5">
        <v>49.6220526471458</v>
      </c>
      <c r="O48" s="5">
        <v>10</v>
      </c>
      <c r="P48" s="5">
        <v>96.754439681567604</v>
      </c>
      <c r="Q48" s="5">
        <v>53.079567061576697</v>
      </c>
      <c r="R48" s="5">
        <v>58.138141620284401</v>
      </c>
      <c r="S48" s="5">
        <v>54.258428332091299</v>
      </c>
      <c r="T48" s="5">
        <v>6.9767441860465098</v>
      </c>
      <c r="U48" s="5">
        <v>18.75</v>
      </c>
      <c r="V48" s="5">
        <v>10.1694915254237</v>
      </c>
      <c r="W48" s="5">
        <v>0.79669140383426096</v>
      </c>
      <c r="X48" s="5">
        <v>0.99733432819772305</v>
      </c>
      <c r="Y48" s="5">
        <v>5.3769855457133302E-2</v>
      </c>
      <c r="Z48" s="5">
        <v>0.581381416202844</v>
      </c>
      <c r="AA48" s="6">
        <v>0.1875</v>
      </c>
    </row>
    <row r="49" spans="1:27" x14ac:dyDescent="0.25">
      <c r="A49" s="4" t="s">
        <v>27</v>
      </c>
      <c r="B49" s="5">
        <v>2025</v>
      </c>
      <c r="C49" s="5">
        <v>32</v>
      </c>
      <c r="D49" s="5">
        <v>16</v>
      </c>
      <c r="E49" s="5">
        <v>4</v>
      </c>
      <c r="F49" s="5">
        <v>2</v>
      </c>
      <c r="G49" s="5">
        <v>0.1</v>
      </c>
      <c r="H49" s="5">
        <v>128</v>
      </c>
      <c r="I49" s="5">
        <v>1000</v>
      </c>
      <c r="J49" s="5">
        <v>1E-4</v>
      </c>
      <c r="K49" s="5">
        <v>0.5</v>
      </c>
      <c r="L49" s="5" t="s">
        <v>28</v>
      </c>
      <c r="M49" s="5">
        <v>0.50508936387076098</v>
      </c>
      <c r="N49" s="5">
        <v>49.6220526471458</v>
      </c>
      <c r="O49" s="5">
        <v>10</v>
      </c>
      <c r="P49" s="5">
        <v>95.101041028781296</v>
      </c>
      <c r="Q49" s="5">
        <v>52.3934087835433</v>
      </c>
      <c r="R49" s="5">
        <v>60.397340754483601</v>
      </c>
      <c r="S49" s="5">
        <v>53.286801304422397</v>
      </c>
      <c r="T49" s="5">
        <v>5.55555555555555</v>
      </c>
      <c r="U49" s="5">
        <v>25</v>
      </c>
      <c r="V49" s="5">
        <v>9.0909090909090899</v>
      </c>
      <c r="W49" s="5">
        <v>0.76194341372912799</v>
      </c>
      <c r="X49" s="5">
        <v>0.99694107512313501</v>
      </c>
      <c r="Y49" s="5">
        <v>5.7164126585328497E-2</v>
      </c>
      <c r="Z49" s="5">
        <v>0.60397340754483597</v>
      </c>
      <c r="AA49" s="6">
        <v>0.25</v>
      </c>
    </row>
    <row r="50" spans="1:27" x14ac:dyDescent="0.25">
      <c r="A50" s="4" t="s">
        <v>27</v>
      </c>
      <c r="B50" s="5">
        <v>2025</v>
      </c>
      <c r="C50" s="5">
        <v>32</v>
      </c>
      <c r="D50" s="5">
        <v>16</v>
      </c>
      <c r="E50" s="5">
        <v>4</v>
      </c>
      <c r="F50" s="5">
        <v>2</v>
      </c>
      <c r="G50" s="5">
        <v>0.1</v>
      </c>
      <c r="H50" s="5">
        <v>128</v>
      </c>
      <c r="I50" s="5">
        <v>1000</v>
      </c>
      <c r="J50" s="5">
        <v>1E-4</v>
      </c>
      <c r="K50" s="5">
        <v>0.5</v>
      </c>
      <c r="L50" s="5" t="s">
        <v>28</v>
      </c>
      <c r="M50" s="5">
        <v>0.50508936387076098</v>
      </c>
      <c r="N50" s="5">
        <v>49.6220526471458</v>
      </c>
      <c r="O50" s="5">
        <v>10</v>
      </c>
      <c r="P50" s="5">
        <v>97.121861604409006</v>
      </c>
      <c r="Q50" s="5">
        <v>53.646785883627899</v>
      </c>
      <c r="R50" s="5">
        <v>58.323670377241797</v>
      </c>
      <c r="S50" s="5">
        <v>54.9289736859104</v>
      </c>
      <c r="T50" s="5">
        <v>8.1081081081080999</v>
      </c>
      <c r="U50" s="5">
        <v>18.75</v>
      </c>
      <c r="V50" s="5">
        <v>11.320754716981099</v>
      </c>
      <c r="W50" s="5">
        <v>0.77388682745825599</v>
      </c>
      <c r="X50" s="5">
        <v>0.99708492813537597</v>
      </c>
      <c r="Y50" s="5">
        <v>0.115338682957025</v>
      </c>
      <c r="Z50" s="5">
        <v>0.58323670377241799</v>
      </c>
      <c r="AA50" s="6">
        <v>0.1875</v>
      </c>
    </row>
    <row r="51" spans="1:27" x14ac:dyDescent="0.25">
      <c r="A51" s="4" t="s">
        <v>27</v>
      </c>
      <c r="B51" s="5">
        <v>2025</v>
      </c>
      <c r="C51" s="5">
        <v>32</v>
      </c>
      <c r="D51" s="5">
        <v>16</v>
      </c>
      <c r="E51" s="5">
        <v>4</v>
      </c>
      <c r="F51" s="5">
        <v>2</v>
      </c>
      <c r="G51" s="5">
        <v>0.1</v>
      </c>
      <c r="H51" s="5">
        <v>128</v>
      </c>
      <c r="I51" s="5">
        <v>1000</v>
      </c>
      <c r="J51" s="5">
        <v>1E-4</v>
      </c>
      <c r="K51" s="5">
        <v>0.5</v>
      </c>
      <c r="L51" s="5" t="s">
        <v>28</v>
      </c>
      <c r="M51" s="5">
        <v>0.50508936387076098</v>
      </c>
      <c r="N51" s="5">
        <v>49.6220526471458</v>
      </c>
      <c r="O51" s="5">
        <v>10</v>
      </c>
      <c r="P51" s="5">
        <v>95.713410900183703</v>
      </c>
      <c r="Q51" s="5">
        <v>53.555708253664697</v>
      </c>
      <c r="R51" s="5">
        <v>63.800633889919602</v>
      </c>
      <c r="S51" s="5">
        <v>55.151443816697999</v>
      </c>
      <c r="T51" s="5">
        <v>7.8125</v>
      </c>
      <c r="U51" s="5">
        <v>31.25</v>
      </c>
      <c r="V51" s="5">
        <v>12.5</v>
      </c>
      <c r="W51" s="5">
        <v>0.79197588126159502</v>
      </c>
      <c r="X51" s="5">
        <v>0.99730723090602202</v>
      </c>
      <c r="Y51" s="5">
        <v>0.138366799276185</v>
      </c>
      <c r="Z51" s="5">
        <v>0.638006338899196</v>
      </c>
      <c r="AA51" s="6">
        <v>0.3125</v>
      </c>
    </row>
    <row r="52" spans="1:27" x14ac:dyDescent="0.25">
      <c r="A52" s="4" t="s">
        <v>27</v>
      </c>
      <c r="B52" s="5">
        <v>2025</v>
      </c>
      <c r="C52" s="5">
        <v>32</v>
      </c>
      <c r="D52" s="5">
        <v>16</v>
      </c>
      <c r="E52" s="5">
        <v>4</v>
      </c>
      <c r="F52" s="5">
        <v>2</v>
      </c>
      <c r="G52" s="5">
        <v>0.1</v>
      </c>
      <c r="H52" s="5">
        <v>128</v>
      </c>
      <c r="I52" s="5">
        <v>1000</v>
      </c>
      <c r="J52" s="5">
        <v>1E-4</v>
      </c>
      <c r="K52" s="5">
        <v>0.5</v>
      </c>
      <c r="L52" s="5" t="s">
        <v>28</v>
      </c>
      <c r="M52" s="5">
        <v>0.50508936387076098</v>
      </c>
      <c r="N52" s="5">
        <v>49.6220526471458</v>
      </c>
      <c r="O52" s="5">
        <v>10</v>
      </c>
      <c r="P52" s="5">
        <v>96.938150642988305</v>
      </c>
      <c r="Q52" s="5">
        <v>53.341964846202103</v>
      </c>
      <c r="R52" s="5">
        <v>58.230905998763099</v>
      </c>
      <c r="S52" s="5">
        <v>54.578326657765899</v>
      </c>
      <c r="T52" s="5">
        <v>7.5</v>
      </c>
      <c r="U52" s="5">
        <v>18.75</v>
      </c>
      <c r="V52" s="5">
        <v>10.714285714285699</v>
      </c>
      <c r="W52" s="5">
        <v>0.77357761286332705</v>
      </c>
      <c r="X52" s="5">
        <v>0.99698854186601504</v>
      </c>
      <c r="Y52" s="5">
        <v>5.6282035959996299E-2</v>
      </c>
      <c r="Z52" s="5">
        <v>0.58230905998763105</v>
      </c>
      <c r="AA52" s="6">
        <v>0.1875</v>
      </c>
    </row>
    <row r="53" spans="1:27" x14ac:dyDescent="0.25">
      <c r="A53" s="4" t="s">
        <v>27</v>
      </c>
      <c r="B53" s="5">
        <v>2025</v>
      </c>
      <c r="C53" s="5">
        <v>32</v>
      </c>
      <c r="D53" s="5">
        <v>16</v>
      </c>
      <c r="E53" s="5">
        <v>4</v>
      </c>
      <c r="F53" s="5">
        <v>2</v>
      </c>
      <c r="G53" s="5">
        <v>0.1</v>
      </c>
      <c r="H53" s="5">
        <v>128</v>
      </c>
      <c r="I53" s="5">
        <v>1000</v>
      </c>
      <c r="J53" s="5">
        <v>1E-4</v>
      </c>
      <c r="K53" s="5">
        <v>0.5</v>
      </c>
      <c r="L53" s="5" t="s">
        <v>28</v>
      </c>
      <c r="M53" s="5">
        <v>0.50508936387076098</v>
      </c>
      <c r="N53" s="5">
        <v>49.6220526471458</v>
      </c>
      <c r="O53" s="5">
        <v>10</v>
      </c>
      <c r="P53" s="5">
        <v>95.897121861604404</v>
      </c>
      <c r="Q53" s="5">
        <v>53.008636099325898</v>
      </c>
      <c r="R53" s="5">
        <v>60.799319727891103</v>
      </c>
      <c r="S53" s="5">
        <v>54.283505693095101</v>
      </c>
      <c r="T53" s="5">
        <v>6.7796610169491496</v>
      </c>
      <c r="U53" s="5">
        <v>25</v>
      </c>
      <c r="V53" s="5">
        <v>10.6666666666666</v>
      </c>
      <c r="W53" s="5">
        <v>0.770756029684601</v>
      </c>
      <c r="X53" s="5">
        <v>0.99691295252740897</v>
      </c>
      <c r="Y53" s="5">
        <v>6.4847601452659998E-2</v>
      </c>
      <c r="Z53" s="5">
        <v>0.60799319727891099</v>
      </c>
      <c r="AA53" s="6">
        <v>0.25</v>
      </c>
    </row>
    <row r="54" spans="1:27" x14ac:dyDescent="0.25">
      <c r="A54" s="4" t="s">
        <v>27</v>
      </c>
      <c r="B54" s="5">
        <v>2025</v>
      </c>
      <c r="C54" s="5">
        <v>32</v>
      </c>
      <c r="D54" s="5">
        <v>16</v>
      </c>
      <c r="E54" s="5">
        <v>4</v>
      </c>
      <c r="F54" s="5">
        <v>2</v>
      </c>
      <c r="G54" s="5">
        <v>0.1</v>
      </c>
      <c r="H54" s="5">
        <v>128</v>
      </c>
      <c r="I54" s="5">
        <v>1000</v>
      </c>
      <c r="J54" s="5">
        <v>1E-4</v>
      </c>
      <c r="K54" s="5">
        <v>0.5</v>
      </c>
      <c r="L54" s="5" t="s">
        <v>28</v>
      </c>
      <c r="M54" s="5">
        <v>0.50508936387076098</v>
      </c>
      <c r="N54" s="5">
        <v>49.6220526471458</v>
      </c>
      <c r="O54" s="5">
        <v>10</v>
      </c>
      <c r="P54" s="5">
        <v>97.917942437232</v>
      </c>
      <c r="Q54" s="5">
        <v>55.846022374145399</v>
      </c>
      <c r="R54" s="5">
        <v>58.725649350649299</v>
      </c>
      <c r="S54" s="5">
        <v>56.973031618102901</v>
      </c>
      <c r="T54" s="5">
        <v>12.5</v>
      </c>
      <c r="U54" s="5">
        <v>18.75</v>
      </c>
      <c r="V54" s="5">
        <v>15</v>
      </c>
      <c r="W54" s="5">
        <v>0.78215831787260304</v>
      </c>
      <c r="X54" s="5">
        <v>0.99720615718332395</v>
      </c>
      <c r="Y54" s="5">
        <v>0.16925313946356599</v>
      </c>
      <c r="Z54" s="5">
        <v>0.587256493506493</v>
      </c>
      <c r="AA54" s="6">
        <v>0.1875</v>
      </c>
    </row>
    <row r="55" spans="1:27" x14ac:dyDescent="0.25">
      <c r="A55" s="4" t="s">
        <v>27</v>
      </c>
      <c r="B55" s="5">
        <v>2025</v>
      </c>
      <c r="C55" s="5">
        <v>32</v>
      </c>
      <c r="D55" s="5">
        <v>16</v>
      </c>
      <c r="E55" s="5">
        <v>4</v>
      </c>
      <c r="F55" s="5">
        <v>2</v>
      </c>
      <c r="G55" s="5">
        <v>0.1</v>
      </c>
      <c r="H55" s="5">
        <v>128</v>
      </c>
      <c r="I55" s="5">
        <v>1000</v>
      </c>
      <c r="J55" s="5">
        <v>1E-4</v>
      </c>
      <c r="K55" s="5">
        <v>0.5</v>
      </c>
      <c r="L55" s="5" t="s">
        <v>28</v>
      </c>
      <c r="M55" s="5">
        <v>0.50508936387076098</v>
      </c>
      <c r="N55" s="5">
        <v>49.6220526471458</v>
      </c>
      <c r="O55" s="5">
        <v>10</v>
      </c>
      <c r="P55" s="5">
        <v>82.1800367421922</v>
      </c>
      <c r="Q55" s="5">
        <v>50.876251235788402</v>
      </c>
      <c r="R55" s="5">
        <v>63.1551484230055</v>
      </c>
      <c r="S55" s="5">
        <v>47.381201521417701</v>
      </c>
      <c r="T55" s="5">
        <v>2.4221453287197199</v>
      </c>
      <c r="U55" s="5">
        <v>43.75</v>
      </c>
      <c r="V55" s="5">
        <v>4.5901639344262204</v>
      </c>
      <c r="W55" s="5">
        <v>0.64710884353741505</v>
      </c>
      <c r="X55" s="5">
        <v>0.99464184242196496</v>
      </c>
      <c r="Y55" s="5">
        <v>3.2631286510936101E-2</v>
      </c>
      <c r="Z55" s="5">
        <v>0.63155148423005503</v>
      </c>
      <c r="AA55" s="6">
        <v>0.4375</v>
      </c>
    </row>
    <row r="56" spans="1:27" x14ac:dyDescent="0.25">
      <c r="A56" s="7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10" t="str">
        <f>TEXT(AVERAGE(P46:P55),"0.00")&amp;" ± "&amp;TEXT(_xlfn.STDEV.S(P46:P55),"0.00")</f>
        <v>94.53 ± 4.56</v>
      </c>
      <c r="Q56" s="10" t="str">
        <f t="shared" ref="Q56:AA56" si="4">TEXT(AVERAGE(Q46:Q55),"0.00")&amp;" ± "&amp;TEXT(_xlfn.STDEV.S(Q46:Q55),"0.00")</f>
        <v>53.05 ± 1.33</v>
      </c>
      <c r="R56" s="10" t="str">
        <f t="shared" si="4"/>
        <v>60.73 ± 2.80</v>
      </c>
      <c r="S56" s="10" t="str">
        <f t="shared" si="4"/>
        <v>53.69 ± 2.60</v>
      </c>
      <c r="T56" s="10" t="str">
        <f t="shared" si="4"/>
        <v>6.85 ± 2.69</v>
      </c>
      <c r="U56" s="10" t="str">
        <f t="shared" si="4"/>
        <v>26.25 ± 8.74</v>
      </c>
      <c r="V56" s="10" t="str">
        <f t="shared" si="4"/>
        <v>10.25 ± 2.93</v>
      </c>
      <c r="W56" s="11" t="str">
        <f t="shared" si="4"/>
        <v>0.77 ± 0.05</v>
      </c>
      <c r="X56" s="8" t="str">
        <f t="shared" si="4"/>
        <v>1.00 ± 0.00</v>
      </c>
      <c r="Y56" s="8" t="str">
        <f t="shared" si="4"/>
        <v>0.09 ± 0.04</v>
      </c>
      <c r="Z56" s="8" t="str">
        <f t="shared" si="4"/>
        <v>0.61 ± 0.03</v>
      </c>
      <c r="AA56" s="9" t="str">
        <f t="shared" si="4"/>
        <v>0.26 ± 0.09</v>
      </c>
    </row>
    <row r="57" spans="1:27" x14ac:dyDescent="0.25">
      <c r="A57" s="1" t="s">
        <v>27</v>
      </c>
      <c r="B57" s="2">
        <v>2025</v>
      </c>
      <c r="C57" s="2">
        <v>64</v>
      </c>
      <c r="D57" s="2">
        <v>16</v>
      </c>
      <c r="E57" s="2">
        <v>4</v>
      </c>
      <c r="F57" s="2">
        <v>2</v>
      </c>
      <c r="G57" s="2">
        <v>0.1</v>
      </c>
      <c r="H57" s="2">
        <v>128</v>
      </c>
      <c r="I57" s="2">
        <v>1000</v>
      </c>
      <c r="J57" s="2">
        <v>1E-4</v>
      </c>
      <c r="K57" s="2">
        <v>0.5</v>
      </c>
      <c r="L57" s="2" t="s">
        <v>28</v>
      </c>
      <c r="M57" s="2">
        <v>0.50508936387076098</v>
      </c>
      <c r="N57" s="2">
        <v>49.6220526471458</v>
      </c>
      <c r="O57" s="2">
        <v>10</v>
      </c>
      <c r="P57" s="2">
        <v>95.897121861604404</v>
      </c>
      <c r="Q57" s="2">
        <v>52.219142399144999</v>
      </c>
      <c r="R57" s="2">
        <v>57.705241187383997</v>
      </c>
      <c r="S57" s="2">
        <v>53.060418981590701</v>
      </c>
      <c r="T57" s="2">
        <v>5.2631578947368398</v>
      </c>
      <c r="U57" s="2">
        <v>18.75</v>
      </c>
      <c r="V57" s="2">
        <v>8.2191780821917799</v>
      </c>
      <c r="W57" s="2">
        <v>0.81021954236239901</v>
      </c>
      <c r="X57" s="2">
        <v>0.99756420123811496</v>
      </c>
      <c r="Y57" s="2">
        <v>0.10366476747386701</v>
      </c>
      <c r="Z57" s="2">
        <v>0.57705241187384004</v>
      </c>
      <c r="AA57" s="3">
        <v>0.1875</v>
      </c>
    </row>
    <row r="58" spans="1:27" x14ac:dyDescent="0.25">
      <c r="A58" s="4" t="s">
        <v>27</v>
      </c>
      <c r="B58" s="5">
        <v>2025</v>
      </c>
      <c r="C58" s="5">
        <v>64</v>
      </c>
      <c r="D58" s="5">
        <v>16</v>
      </c>
      <c r="E58" s="5">
        <v>4</v>
      </c>
      <c r="F58" s="5">
        <v>2</v>
      </c>
      <c r="G58" s="5">
        <v>0.1</v>
      </c>
      <c r="H58" s="5">
        <v>128</v>
      </c>
      <c r="I58" s="5">
        <v>1000</v>
      </c>
      <c r="J58" s="5">
        <v>1E-4</v>
      </c>
      <c r="K58" s="5">
        <v>0.5</v>
      </c>
      <c r="L58" s="5" t="s">
        <v>28</v>
      </c>
      <c r="M58" s="5">
        <v>0.50508936387076098</v>
      </c>
      <c r="N58" s="5">
        <v>49.6220526471458</v>
      </c>
      <c r="O58" s="5">
        <v>10</v>
      </c>
      <c r="P58" s="5">
        <v>89.406001224739697</v>
      </c>
      <c r="Q58" s="5">
        <v>51.433617874349203</v>
      </c>
      <c r="R58" s="5">
        <v>63.709802102659197</v>
      </c>
      <c r="S58" s="5">
        <v>50.435713220523297</v>
      </c>
      <c r="T58" s="5">
        <v>3.5502958579881598</v>
      </c>
      <c r="U58" s="5">
        <v>37.5</v>
      </c>
      <c r="V58" s="5">
        <v>6.4864864864864797</v>
      </c>
      <c r="W58" s="5">
        <v>0.79568645640074198</v>
      </c>
      <c r="X58" s="5">
        <v>0.997462240287327</v>
      </c>
      <c r="Y58" s="5">
        <v>9.7182779426574897E-2</v>
      </c>
      <c r="Z58" s="5">
        <v>0.63709802102659197</v>
      </c>
      <c r="AA58" s="6">
        <v>0.375</v>
      </c>
    </row>
    <row r="59" spans="1:27" x14ac:dyDescent="0.25">
      <c r="A59" s="4" t="s">
        <v>27</v>
      </c>
      <c r="B59" s="5">
        <v>2025</v>
      </c>
      <c r="C59" s="5">
        <v>64</v>
      </c>
      <c r="D59" s="5">
        <v>16</v>
      </c>
      <c r="E59" s="5">
        <v>4</v>
      </c>
      <c r="F59" s="5">
        <v>2</v>
      </c>
      <c r="G59" s="5">
        <v>0.1</v>
      </c>
      <c r="H59" s="5">
        <v>128</v>
      </c>
      <c r="I59" s="5">
        <v>1000</v>
      </c>
      <c r="J59" s="5">
        <v>1E-4</v>
      </c>
      <c r="K59" s="5">
        <v>0.5</v>
      </c>
      <c r="L59" s="5" t="s">
        <v>28</v>
      </c>
      <c r="M59" s="5">
        <v>0.50508936387076098</v>
      </c>
      <c r="N59" s="5">
        <v>49.6220526471458</v>
      </c>
      <c r="O59" s="5">
        <v>10</v>
      </c>
      <c r="P59" s="5">
        <v>95.162278015921601</v>
      </c>
      <c r="Q59" s="5">
        <v>51.045538590572001</v>
      </c>
      <c r="R59" s="5">
        <v>54.240105132962199</v>
      </c>
      <c r="S59" s="5">
        <v>51.168670913626201</v>
      </c>
      <c r="T59" s="5">
        <v>2.98507462686567</v>
      </c>
      <c r="U59" s="5">
        <v>12.5</v>
      </c>
      <c r="V59" s="5">
        <v>4.81927710843373</v>
      </c>
      <c r="W59" s="5">
        <v>0.76569264069263998</v>
      </c>
      <c r="X59" s="5">
        <v>0.997023868679072</v>
      </c>
      <c r="Y59" s="5">
        <v>4.7577158157446599E-2</v>
      </c>
      <c r="Z59" s="5">
        <v>0.54240105132962202</v>
      </c>
      <c r="AA59" s="6">
        <v>0.125</v>
      </c>
    </row>
    <row r="60" spans="1:27" x14ac:dyDescent="0.25">
      <c r="A60" s="4" t="s">
        <v>27</v>
      </c>
      <c r="B60" s="5">
        <v>2025</v>
      </c>
      <c r="C60" s="5">
        <v>64</v>
      </c>
      <c r="D60" s="5">
        <v>16</v>
      </c>
      <c r="E60" s="5">
        <v>4</v>
      </c>
      <c r="F60" s="5">
        <v>2</v>
      </c>
      <c r="G60" s="5">
        <v>0.1</v>
      </c>
      <c r="H60" s="5">
        <v>128</v>
      </c>
      <c r="I60" s="5">
        <v>1000</v>
      </c>
      <c r="J60" s="5">
        <v>1E-4</v>
      </c>
      <c r="K60" s="5">
        <v>0.5</v>
      </c>
      <c r="L60" s="5" t="s">
        <v>28</v>
      </c>
      <c r="M60" s="5">
        <v>0.50508936387076098</v>
      </c>
      <c r="N60" s="5">
        <v>49.6220526471458</v>
      </c>
      <c r="O60" s="5">
        <v>10</v>
      </c>
      <c r="P60" s="5">
        <v>90.753214941824794</v>
      </c>
      <c r="Q60" s="5">
        <v>50.995916834843001</v>
      </c>
      <c r="R60" s="5">
        <v>58.201917130488503</v>
      </c>
      <c r="S60" s="5">
        <v>50.085726488978999</v>
      </c>
      <c r="T60" s="5">
        <v>2.79720279720279</v>
      </c>
      <c r="U60" s="5">
        <v>25</v>
      </c>
      <c r="V60" s="5">
        <v>5.0314465408805003</v>
      </c>
      <c r="W60" s="5">
        <v>0.673237476808905</v>
      </c>
      <c r="X60" s="5">
        <v>0.99523994006208305</v>
      </c>
      <c r="Y60" s="5">
        <v>2.6732152186167701E-2</v>
      </c>
      <c r="Z60" s="5">
        <v>0.58201917130488501</v>
      </c>
      <c r="AA60" s="6">
        <v>0.25</v>
      </c>
    </row>
    <row r="61" spans="1:27" x14ac:dyDescent="0.25">
      <c r="A61" s="4" t="s">
        <v>27</v>
      </c>
      <c r="B61" s="5">
        <v>2025</v>
      </c>
      <c r="C61" s="5">
        <v>64</v>
      </c>
      <c r="D61" s="5">
        <v>16</v>
      </c>
      <c r="E61" s="5">
        <v>4</v>
      </c>
      <c r="F61" s="5">
        <v>2</v>
      </c>
      <c r="G61" s="5">
        <v>0.1</v>
      </c>
      <c r="H61" s="5">
        <v>128</v>
      </c>
      <c r="I61" s="5">
        <v>1000</v>
      </c>
      <c r="J61" s="5">
        <v>1E-4</v>
      </c>
      <c r="K61" s="5">
        <v>0.5</v>
      </c>
      <c r="L61" s="5" t="s">
        <v>28</v>
      </c>
      <c r="M61" s="5">
        <v>0.50508936387076098</v>
      </c>
      <c r="N61" s="5">
        <v>49.6220526471458</v>
      </c>
      <c r="O61" s="5">
        <v>10</v>
      </c>
      <c r="P61" s="5">
        <v>88.548683404776398</v>
      </c>
      <c r="Q61" s="5">
        <v>51.002427590825299</v>
      </c>
      <c r="R61" s="5">
        <v>60.182823129251602</v>
      </c>
      <c r="S61" s="5">
        <v>49.491476083910896</v>
      </c>
      <c r="T61" s="5">
        <v>2.7624309392265101</v>
      </c>
      <c r="U61" s="5">
        <v>31.25</v>
      </c>
      <c r="V61" s="5">
        <v>5.0761421319796902</v>
      </c>
      <c r="W61" s="5">
        <v>0.692331478045763</v>
      </c>
      <c r="X61" s="5">
        <v>0.99569405298414504</v>
      </c>
      <c r="Y61" s="5">
        <v>8.7592280999533395E-2</v>
      </c>
      <c r="Z61" s="5">
        <v>0.60182823129251695</v>
      </c>
      <c r="AA61" s="6">
        <v>0.3125</v>
      </c>
    </row>
    <row r="62" spans="1:27" x14ac:dyDescent="0.25">
      <c r="A62" s="4" t="s">
        <v>27</v>
      </c>
      <c r="B62" s="5">
        <v>2025</v>
      </c>
      <c r="C62" s="5">
        <v>64</v>
      </c>
      <c r="D62" s="5">
        <v>16</v>
      </c>
      <c r="E62" s="5">
        <v>4</v>
      </c>
      <c r="F62" s="5">
        <v>2</v>
      </c>
      <c r="G62" s="5">
        <v>0.1</v>
      </c>
      <c r="H62" s="5">
        <v>128</v>
      </c>
      <c r="I62" s="5">
        <v>1000</v>
      </c>
      <c r="J62" s="5">
        <v>1E-4</v>
      </c>
      <c r="K62" s="5">
        <v>0.5</v>
      </c>
      <c r="L62" s="5" t="s">
        <v>28</v>
      </c>
      <c r="M62" s="5">
        <v>0.50508936387076098</v>
      </c>
      <c r="N62" s="5">
        <v>49.6220526471458</v>
      </c>
      <c r="O62" s="5">
        <v>10</v>
      </c>
      <c r="P62" s="5">
        <v>94.121249234537601</v>
      </c>
      <c r="Q62" s="5">
        <v>51.884377758164099</v>
      </c>
      <c r="R62" s="5">
        <v>59.902597402597401</v>
      </c>
      <c r="S62" s="5">
        <v>52.328127280688904</v>
      </c>
      <c r="T62" s="5">
        <v>4.5454545454545396</v>
      </c>
      <c r="U62" s="5">
        <v>25</v>
      </c>
      <c r="V62" s="5">
        <v>7.6923076923076898</v>
      </c>
      <c r="W62" s="5">
        <v>0.78161719233147797</v>
      </c>
      <c r="X62" s="5">
        <v>0.996989426113434</v>
      </c>
      <c r="Y62" s="5">
        <v>5.1523674009851798E-2</v>
      </c>
      <c r="Z62" s="5">
        <v>0.59902597402597402</v>
      </c>
      <c r="AA62" s="6">
        <v>0.25</v>
      </c>
    </row>
    <row r="63" spans="1:27" x14ac:dyDescent="0.25">
      <c r="A63" s="4" t="s">
        <v>27</v>
      </c>
      <c r="B63" s="5">
        <v>2025</v>
      </c>
      <c r="C63" s="5">
        <v>64</v>
      </c>
      <c r="D63" s="5">
        <v>16</v>
      </c>
      <c r="E63" s="5">
        <v>4</v>
      </c>
      <c r="F63" s="5">
        <v>2</v>
      </c>
      <c r="G63" s="5">
        <v>0.1</v>
      </c>
      <c r="H63" s="5">
        <v>128</v>
      </c>
      <c r="I63" s="5">
        <v>1000</v>
      </c>
      <c r="J63" s="5">
        <v>1E-4</v>
      </c>
      <c r="K63" s="5">
        <v>0.5</v>
      </c>
      <c r="L63" s="5" t="s">
        <v>28</v>
      </c>
      <c r="M63" s="5">
        <v>0.50508936387076098</v>
      </c>
      <c r="N63" s="5">
        <v>49.6220526471458</v>
      </c>
      <c r="O63" s="5">
        <v>10</v>
      </c>
      <c r="P63" s="5">
        <v>93.508879363135307</v>
      </c>
      <c r="Q63" s="5">
        <v>52.614592538517599</v>
      </c>
      <c r="R63" s="5">
        <v>65.781539888682701</v>
      </c>
      <c r="S63" s="5">
        <v>53.401137122305201</v>
      </c>
      <c r="T63" s="5">
        <v>5.8823529411764701</v>
      </c>
      <c r="U63" s="5">
        <v>37.5</v>
      </c>
      <c r="V63" s="5">
        <v>10.1694915254237</v>
      </c>
      <c r="W63" s="5">
        <v>0.80017006802721002</v>
      </c>
      <c r="X63" s="5">
        <v>0.99733483586350102</v>
      </c>
      <c r="Y63" s="5">
        <v>0.122738248246828</v>
      </c>
      <c r="Z63" s="5">
        <v>0.65781539888682705</v>
      </c>
      <c r="AA63" s="6">
        <v>0.375</v>
      </c>
    </row>
    <row r="64" spans="1:27" x14ac:dyDescent="0.25">
      <c r="A64" s="4" t="s">
        <v>27</v>
      </c>
      <c r="B64" s="5">
        <v>2025</v>
      </c>
      <c r="C64" s="5">
        <v>64</v>
      </c>
      <c r="D64" s="5">
        <v>16</v>
      </c>
      <c r="E64" s="5">
        <v>4</v>
      </c>
      <c r="F64" s="5">
        <v>2</v>
      </c>
      <c r="G64" s="5">
        <v>0.1</v>
      </c>
      <c r="H64" s="5">
        <v>128</v>
      </c>
      <c r="I64" s="5">
        <v>1000</v>
      </c>
      <c r="J64" s="5">
        <v>1E-4</v>
      </c>
      <c r="K64" s="5">
        <v>0.5</v>
      </c>
      <c r="L64" s="5" t="s">
        <v>28</v>
      </c>
      <c r="M64" s="5">
        <v>0.50508936387076098</v>
      </c>
      <c r="N64" s="5">
        <v>49.6220526471458</v>
      </c>
      <c r="O64" s="5">
        <v>10</v>
      </c>
      <c r="P64" s="5">
        <v>76.974892835272499</v>
      </c>
      <c r="Q64" s="5">
        <v>50.911591728324701</v>
      </c>
      <c r="R64" s="5">
        <v>66.714981447124302</v>
      </c>
      <c r="S64" s="5">
        <v>45.738302956605303</v>
      </c>
      <c r="T64" s="5">
        <v>2.38095238095238</v>
      </c>
      <c r="U64" s="5">
        <v>56.25</v>
      </c>
      <c r="V64" s="5">
        <v>4.5685279187817196</v>
      </c>
      <c r="W64" s="5">
        <v>0.74126468769325904</v>
      </c>
      <c r="X64" s="5">
        <v>0.99629348667559103</v>
      </c>
      <c r="Y64" s="5">
        <v>3.9132476943394903E-2</v>
      </c>
      <c r="Z64" s="5">
        <v>0.667149814471243</v>
      </c>
      <c r="AA64" s="6">
        <v>0.5625</v>
      </c>
    </row>
    <row r="65" spans="1:27" x14ac:dyDescent="0.25">
      <c r="A65" s="4" t="s">
        <v>27</v>
      </c>
      <c r="B65" s="5">
        <v>2025</v>
      </c>
      <c r="C65" s="5">
        <v>64</v>
      </c>
      <c r="D65" s="5">
        <v>16</v>
      </c>
      <c r="E65" s="5">
        <v>4</v>
      </c>
      <c r="F65" s="5">
        <v>2</v>
      </c>
      <c r="G65" s="5">
        <v>0.1</v>
      </c>
      <c r="H65" s="5">
        <v>128</v>
      </c>
      <c r="I65" s="5">
        <v>1000</v>
      </c>
      <c r="J65" s="5">
        <v>1E-4</v>
      </c>
      <c r="K65" s="5">
        <v>0.5</v>
      </c>
      <c r="L65" s="5" t="s">
        <v>28</v>
      </c>
      <c r="M65" s="5">
        <v>0.50508936387076098</v>
      </c>
      <c r="N65" s="5">
        <v>49.6220526471458</v>
      </c>
      <c r="O65" s="5">
        <v>10</v>
      </c>
      <c r="P65" s="5">
        <v>95.652173913043399</v>
      </c>
      <c r="Q65" s="5">
        <v>49.493029150823801</v>
      </c>
      <c r="R65" s="5">
        <v>48.299319727891103</v>
      </c>
      <c r="S65" s="5">
        <v>48.8888888888888</v>
      </c>
      <c r="T65" s="5">
        <v>0</v>
      </c>
      <c r="U65" s="5">
        <v>0</v>
      </c>
      <c r="V65" s="5">
        <v>0</v>
      </c>
      <c r="W65" s="5">
        <v>0.65445269016697505</v>
      </c>
      <c r="X65" s="5">
        <v>0.99458493245340096</v>
      </c>
      <c r="Y65" s="5">
        <v>1.9264026376433398E-2</v>
      </c>
      <c r="Z65" s="5">
        <v>0.48299319727891099</v>
      </c>
      <c r="AA65" s="6">
        <v>0</v>
      </c>
    </row>
    <row r="66" spans="1:27" x14ac:dyDescent="0.25">
      <c r="A66" s="4" t="s">
        <v>27</v>
      </c>
      <c r="B66" s="5">
        <v>2025</v>
      </c>
      <c r="C66" s="5">
        <v>64</v>
      </c>
      <c r="D66" s="5">
        <v>16</v>
      </c>
      <c r="E66" s="5">
        <v>4</v>
      </c>
      <c r="F66" s="5">
        <v>2</v>
      </c>
      <c r="G66" s="5">
        <v>0.1</v>
      </c>
      <c r="H66" s="5">
        <v>128</v>
      </c>
      <c r="I66" s="5">
        <v>1000</v>
      </c>
      <c r="J66" s="5">
        <v>1E-4</v>
      </c>
      <c r="K66" s="5">
        <v>0.5</v>
      </c>
      <c r="L66" s="5" t="s">
        <v>28</v>
      </c>
      <c r="M66" s="5">
        <v>0.50508936387076098</v>
      </c>
      <c r="N66" s="5">
        <v>49.6220526471458</v>
      </c>
      <c r="O66" s="5">
        <v>10</v>
      </c>
      <c r="P66" s="5">
        <v>96.080832823025105</v>
      </c>
      <c r="Q66" s="5">
        <v>53.190959326025897</v>
      </c>
      <c r="R66" s="5">
        <v>60.892084106369801</v>
      </c>
      <c r="S66" s="5">
        <v>54.553677033326302</v>
      </c>
      <c r="T66" s="5">
        <v>7.1428571428571397</v>
      </c>
      <c r="U66" s="5">
        <v>25</v>
      </c>
      <c r="V66" s="5">
        <v>11.1111111111111</v>
      </c>
      <c r="W66" s="5">
        <v>0.74980674087816901</v>
      </c>
      <c r="X66" s="5">
        <v>0.99652133610274896</v>
      </c>
      <c r="Y66" s="5">
        <v>0.111779806272488</v>
      </c>
      <c r="Z66" s="5">
        <v>0.60892084106369804</v>
      </c>
      <c r="AA66" s="6">
        <v>0.25</v>
      </c>
    </row>
    <row r="67" spans="1:27" x14ac:dyDescent="0.25">
      <c r="A67" s="7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10" t="str">
        <f>TEXT(AVERAGE(P57:P66),"0.00")&amp;" ± "&amp;TEXT(_xlfn.STDEV.S(P57:P66),"0.00")</f>
        <v>91.61 ± 5.83</v>
      </c>
      <c r="Q67" s="10" t="str">
        <f t="shared" ref="Q67:AA67" si="5">TEXT(AVERAGE(Q57:Q66),"0.00")&amp;" ± "&amp;TEXT(_xlfn.STDEV.S(Q57:Q66),"0.00")</f>
        <v>51.48 ± 1.05</v>
      </c>
      <c r="R67" s="10" t="str">
        <f t="shared" si="5"/>
        <v>59.56 ± 5.48</v>
      </c>
      <c r="S67" s="10" t="str">
        <f t="shared" si="5"/>
        <v>50.92 ± 2.58</v>
      </c>
      <c r="T67" s="10" t="str">
        <f t="shared" si="5"/>
        <v>3.73 ± 2.04</v>
      </c>
      <c r="U67" s="10" t="str">
        <f t="shared" si="5"/>
        <v>26.88 ± 15.32</v>
      </c>
      <c r="V67" s="10" t="str">
        <f t="shared" si="5"/>
        <v>6.32 ± 3.19</v>
      </c>
      <c r="W67" s="11" t="str">
        <f>TEXT(AVERAGE(W57:W66),"0.00")&amp;" ± "&amp;TEXT(_xlfn.STDEV.S(W57:W66),"0.00")</f>
        <v>0.75 ± 0.06</v>
      </c>
      <c r="X67" s="8" t="str">
        <f t="shared" si="5"/>
        <v>1.00 ± 0.00</v>
      </c>
      <c r="Y67" s="8" t="str">
        <f t="shared" si="5"/>
        <v>0.07 ± 0.04</v>
      </c>
      <c r="Z67" s="8" t="str">
        <f t="shared" si="5"/>
        <v>0.60 ± 0.05</v>
      </c>
      <c r="AA67" s="9" t="str">
        <f t="shared" si="5"/>
        <v>0.27 ± 0.15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runs_results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Jiao Yin</cp:lastModifiedBy>
  <dcterms:created xsi:type="dcterms:W3CDTF">2025-12-07T22:20:01Z</dcterms:created>
  <dcterms:modified xsi:type="dcterms:W3CDTF">2025-12-07T23:08:16Z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7dc88d9-fa17-47eb-a208-3e66f59d50e5_Enabled">
    <vt:lpwstr>true</vt:lpwstr>
  </property>
  <property fmtid="{D5CDD505-2E9C-101B-9397-08002B2CF9AE}" pid="3" name="MSIP_Label_d7dc88d9-fa17-47eb-a208-3e66f59d50e5_SetDate">
    <vt:lpwstr>2025-12-07T22:22:02Z</vt:lpwstr>
  </property>
  <property fmtid="{D5CDD505-2E9C-101B-9397-08002B2CF9AE}" pid="4" name="MSIP_Label_d7dc88d9-fa17-47eb-a208-3e66f59d50e5_Method">
    <vt:lpwstr>Standard</vt:lpwstr>
  </property>
  <property fmtid="{D5CDD505-2E9C-101B-9397-08002B2CF9AE}" pid="5" name="MSIP_Label_d7dc88d9-fa17-47eb-a208-3e66f59d50e5_Name">
    <vt:lpwstr>Internal</vt:lpwstr>
  </property>
  <property fmtid="{D5CDD505-2E9C-101B-9397-08002B2CF9AE}" pid="6" name="MSIP_Label_d7dc88d9-fa17-47eb-a208-3e66f59d50e5_SiteId">
    <vt:lpwstr>d51ba343-9258-4ea6-9907-426d8c84ec12</vt:lpwstr>
  </property>
  <property fmtid="{D5CDD505-2E9C-101B-9397-08002B2CF9AE}" pid="7" name="MSIP_Label_d7dc88d9-fa17-47eb-a208-3e66f59d50e5_ActionId">
    <vt:lpwstr>c69b8ebb-fac5-4507-8875-e54d63869f5b</vt:lpwstr>
  </property>
  <property fmtid="{D5CDD505-2E9C-101B-9397-08002B2CF9AE}" pid="8" name="MSIP_Label_d7dc88d9-fa17-47eb-a208-3e66f59d50e5_ContentBits">
    <vt:lpwstr>0</vt:lpwstr>
  </property>
  <property fmtid="{D5CDD505-2E9C-101B-9397-08002B2CF9AE}" pid="9" name="MSIP_Label_d7dc88d9-fa17-47eb-a208-3e66f59d50e5_Tag">
    <vt:lpwstr>10, 3, 0, 1</vt:lpwstr>
  </property>
</Properties>
</file>